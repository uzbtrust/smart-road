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20100" windowHeight="9024" activeTab="11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  <sheet name="Лист7" sheetId="7" r:id="rId7"/>
    <sheet name="Лист8" sheetId="8" r:id="rId8"/>
    <sheet name="Лист9" sheetId="9" r:id="rId9"/>
    <sheet name="Лист10" sheetId="10" r:id="rId10"/>
    <sheet name="Лист11" sheetId="11" r:id="rId11"/>
    <sheet name="Лист12" sheetId="12" r:id="rId12"/>
  </sheets>
  <calcPr calcId="144525"/>
</workbook>
</file>

<file path=xl/calcChain.xml><?xml version="1.0" encoding="utf-8"?>
<calcChain xmlns="http://schemas.openxmlformats.org/spreadsheetml/2006/main">
  <c r="J12" i="10" l="1"/>
  <c r="K11" i="9"/>
  <c r="M12" i="4"/>
  <c r="J12" i="12" l="1"/>
  <c r="J10" i="12"/>
  <c r="J10" i="11"/>
  <c r="J8" i="11"/>
  <c r="J10" i="10"/>
  <c r="K9" i="9"/>
  <c r="I14" i="8"/>
  <c r="I12" i="8"/>
  <c r="J12" i="7"/>
  <c r="J10" i="7"/>
  <c r="L15" i="6"/>
  <c r="L13" i="6"/>
  <c r="L13" i="5"/>
  <c r="L11" i="5"/>
  <c r="M10" i="4"/>
  <c r="B50" i="4"/>
  <c r="L13" i="3"/>
  <c r="L11" i="3"/>
  <c r="O22" i="2" l="1"/>
  <c r="O20" i="2"/>
  <c r="B52" i="2"/>
  <c r="J16" i="4"/>
  <c r="D17" i="4"/>
  <c r="B21" i="4" s="1"/>
  <c r="B38" i="3"/>
  <c r="B38" i="2"/>
  <c r="B17" i="2"/>
  <c r="B16" i="2"/>
  <c r="B15" i="2"/>
  <c r="B25" i="2"/>
  <c r="B65" i="1"/>
  <c r="B53" i="1"/>
  <c r="B7" i="1"/>
  <c r="J7" i="1" l="1"/>
  <c r="J9" i="1" l="1"/>
  <c r="D15" i="1"/>
  <c r="B19" i="1"/>
  <c r="G14" i="1"/>
  <c r="B18" i="1"/>
  <c r="B10" i="12" l="1"/>
  <c r="B38" i="11"/>
  <c r="B37" i="11"/>
  <c r="B27" i="11"/>
  <c r="B26" i="11"/>
  <c r="B11" i="11"/>
  <c r="B60" i="10"/>
  <c r="B59" i="10"/>
  <c r="B49" i="10"/>
  <c r="B37" i="10"/>
  <c r="B22" i="10"/>
  <c r="B21" i="10"/>
  <c r="B11" i="10"/>
  <c r="B10" i="10"/>
  <c r="B79" i="9"/>
  <c r="B68" i="9"/>
  <c r="B59" i="9"/>
  <c r="B58" i="9"/>
  <c r="B48" i="9"/>
  <c r="B36" i="9"/>
  <c r="B21" i="9"/>
  <c r="B20" i="9"/>
  <c r="B10" i="9"/>
  <c r="B9" i="9"/>
  <c r="B45" i="12"/>
  <c r="B49" i="12" s="1"/>
  <c r="B44" i="12"/>
  <c r="B48" i="12" s="1"/>
  <c r="B32" i="12"/>
  <c r="B36" i="12" s="1"/>
  <c r="B31" i="12"/>
  <c r="B35" i="12" s="1"/>
  <c r="B16" i="12"/>
  <c r="B20" i="12" s="1"/>
  <c r="B34" i="11"/>
  <c r="B33" i="11"/>
  <c r="B23" i="11"/>
  <c r="B22" i="11"/>
  <c r="B7" i="11"/>
  <c r="B55" i="10"/>
  <c r="B45" i="10"/>
  <c r="B33" i="10"/>
  <c r="B17" i="10"/>
  <c r="B9" i="10"/>
  <c r="B8" i="10"/>
  <c r="C55" i="10"/>
  <c r="C18" i="10"/>
  <c r="C17" i="10"/>
  <c r="C8" i="10"/>
  <c r="B75" i="9"/>
  <c r="C54" i="9"/>
  <c r="B66" i="9"/>
  <c r="C17" i="9"/>
  <c r="C16" i="9"/>
  <c r="C7" i="9"/>
  <c r="B54" i="9"/>
  <c r="B32" i="9"/>
  <c r="B16" i="9"/>
  <c r="B7" i="9"/>
  <c r="B35" i="8" l="1"/>
  <c r="B34" i="8"/>
  <c r="B23" i="8"/>
  <c r="B22" i="8"/>
  <c r="B12" i="8"/>
  <c r="B49" i="7"/>
  <c r="B34" i="7"/>
  <c r="E17" i="7"/>
  <c r="B21" i="7" s="1"/>
  <c r="B51" i="6"/>
  <c r="B48" i="5"/>
  <c r="B36" i="5"/>
  <c r="B21" i="5"/>
  <c r="B12" i="5"/>
  <c r="B11" i="5"/>
  <c r="B35" i="4"/>
  <c r="B20" i="4"/>
  <c r="B12" i="4"/>
  <c r="B14" i="3" l="1"/>
  <c r="B40" i="1"/>
  <c r="B30" i="1"/>
  <c r="B8" i="1"/>
  <c r="E30" i="8"/>
  <c r="D19" i="8"/>
  <c r="F18" i="8"/>
  <c r="F8" i="8"/>
  <c r="D46" i="7"/>
  <c r="E29" i="7"/>
  <c r="B33" i="7" s="1"/>
  <c r="I16" i="7"/>
  <c r="B20" i="7" s="1"/>
  <c r="E7" i="7"/>
  <c r="B11" i="7" s="1"/>
  <c r="H6" i="7"/>
  <c r="B10" i="7" s="1"/>
  <c r="E34" i="6"/>
  <c r="B38" i="6" s="1"/>
  <c r="I19" i="6"/>
  <c r="B23" i="6" s="1"/>
  <c r="J10" i="6"/>
  <c r="B14" i="6" s="1"/>
  <c r="K9" i="6"/>
  <c r="B13" i="6" s="1"/>
  <c r="H32" i="5"/>
  <c r="K17" i="5"/>
  <c r="O8" i="5"/>
  <c r="G7" i="5"/>
  <c r="G45" i="4"/>
  <c r="B49" i="4" s="1"/>
  <c r="D44" i="4"/>
  <c r="B48" i="4" s="1"/>
  <c r="Y7" i="4"/>
  <c r="B11" i="4" s="1"/>
  <c r="I6" i="4"/>
  <c r="B10" i="4" s="1"/>
  <c r="D47" i="3"/>
  <c r="B51" i="3" s="1"/>
  <c r="H18" i="3"/>
  <c r="B22" i="3" s="1"/>
  <c r="J9" i="3"/>
  <c r="B13" i="3" s="1"/>
  <c r="U8" i="3"/>
  <c r="B12" i="3" s="1"/>
  <c r="H21" i="2"/>
  <c r="U12" i="2"/>
  <c r="E11" i="2"/>
  <c r="D61" i="1"/>
  <c r="E36" i="1"/>
  <c r="M5" i="1"/>
  <c r="X4" i="1"/>
</calcChain>
</file>

<file path=xl/sharedStrings.xml><?xml version="1.0" encoding="utf-8"?>
<sst xmlns="http://schemas.openxmlformats.org/spreadsheetml/2006/main" count="508" uniqueCount="29">
  <si>
    <t>Darajasi</t>
  </si>
  <si>
    <t>Nuqson qiymatlari</t>
  </si>
  <si>
    <t>L</t>
  </si>
  <si>
    <t>M</t>
  </si>
  <si>
    <t>H</t>
  </si>
  <si>
    <t>Longitudinal &amp; Transverse Cracking</t>
  </si>
  <si>
    <t xml:space="preserve">Alligator Cracking </t>
  </si>
  <si>
    <t>Edge Cracking</t>
  </si>
  <si>
    <t xml:space="preserve">Slippage Cracking </t>
  </si>
  <si>
    <t>Block Cracking</t>
  </si>
  <si>
    <t>Bumps and Sags</t>
  </si>
  <si>
    <t>Potholes</t>
  </si>
  <si>
    <t>Patching</t>
  </si>
  <si>
    <t>L density(%)</t>
  </si>
  <si>
    <t>M density(%)</t>
  </si>
  <si>
    <t>H density(%)</t>
  </si>
  <si>
    <t>Shoving (qoplama surilishi)</t>
  </si>
  <si>
    <t>DV=16</t>
  </si>
  <si>
    <t>DV=24</t>
  </si>
  <si>
    <t>DV=26.5</t>
  </si>
  <si>
    <t>DV=21</t>
  </si>
  <si>
    <t>DV=8</t>
  </si>
  <si>
    <t>DV=19</t>
  </si>
  <si>
    <t>DV=0.5</t>
  </si>
  <si>
    <t>DV=1</t>
  </si>
  <si>
    <t>CDV</t>
  </si>
  <si>
    <t>TDV</t>
  </si>
  <si>
    <t>PCI</t>
  </si>
  <si>
    <t>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</si>
</sst>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3" fontId="0" fillId="0" borderId="0" xfId="0" applyNumberFormat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65"/>
  <sheetViews>
    <sheetView workbookViewId="0">
      <selection activeCell="D65" sqref="D65:E65"/>
    </sheetView>
  </sheetViews>
  <sheetFormatPr defaultRowHeight="14.4" x14ac:dyDescent="0.3"/>
  <cols>
    <col min="1" max="1" width="11.5546875" customWidth="1"/>
  </cols>
  <sheetData>
    <row r="2" spans="1:24" x14ac:dyDescent="0.3">
      <c r="A2" s="7" t="s">
        <v>5</v>
      </c>
      <c r="B2" s="7"/>
      <c r="C2" s="7"/>
      <c r="D2" s="7"/>
      <c r="E2" s="7"/>
    </row>
    <row r="3" spans="1:24" x14ac:dyDescent="0.3">
      <c r="A3" t="s">
        <v>0</v>
      </c>
      <c r="B3" s="7" t="s">
        <v>1</v>
      </c>
      <c r="C3" s="7"/>
      <c r="D3" s="7"/>
      <c r="E3" s="7"/>
    </row>
    <row r="4" spans="1:24" x14ac:dyDescent="0.3">
      <c r="A4" t="s">
        <v>2</v>
      </c>
      <c r="B4">
        <v>10.8</v>
      </c>
      <c r="C4">
        <v>11</v>
      </c>
      <c r="D4">
        <v>16.7</v>
      </c>
      <c r="E4">
        <v>5</v>
      </c>
      <c r="F4">
        <v>10.8</v>
      </c>
      <c r="G4">
        <v>10.5</v>
      </c>
      <c r="H4">
        <v>10.9</v>
      </c>
      <c r="I4">
        <v>22</v>
      </c>
      <c r="J4">
        <v>26</v>
      </c>
      <c r="K4">
        <v>10.8</v>
      </c>
      <c r="L4">
        <v>5</v>
      </c>
      <c r="M4">
        <v>3.5</v>
      </c>
      <c r="N4">
        <v>10</v>
      </c>
      <c r="O4">
        <v>5</v>
      </c>
      <c r="P4">
        <v>29</v>
      </c>
      <c r="Q4">
        <v>21.6</v>
      </c>
      <c r="R4">
        <v>17.2</v>
      </c>
      <c r="S4">
        <v>21.6</v>
      </c>
      <c r="T4">
        <v>11.7</v>
      </c>
      <c r="U4">
        <v>22</v>
      </c>
      <c r="V4">
        <v>12.2</v>
      </c>
      <c r="W4">
        <v>41.6</v>
      </c>
      <c r="X4">
        <f>B4+C4+D4+E4+F4+G4+H4+I4+J4+K4+L4+M4+N4+O4+P4+Q4+R4+S4+T4+U4+V4+W4</f>
        <v>334.9</v>
      </c>
    </row>
    <row r="5" spans="1:24" x14ac:dyDescent="0.3">
      <c r="A5" t="s">
        <v>3</v>
      </c>
      <c r="B5">
        <v>20.100000000000001</v>
      </c>
      <c r="C5">
        <v>10.8</v>
      </c>
      <c r="D5">
        <v>10.5</v>
      </c>
      <c r="E5">
        <v>10.8</v>
      </c>
      <c r="F5">
        <v>10.7</v>
      </c>
      <c r="G5">
        <v>10.8</v>
      </c>
      <c r="H5">
        <v>14.5</v>
      </c>
      <c r="I5">
        <v>10.8</v>
      </c>
      <c r="J5">
        <v>10.3</v>
      </c>
      <c r="K5">
        <v>42</v>
      </c>
      <c r="L5">
        <v>10.3</v>
      </c>
      <c r="M5">
        <f>B5+C5+D5+E5+F5+G5+H5+I5+J5+K5+L5</f>
        <v>161.60000000000002</v>
      </c>
    </row>
    <row r="6" spans="1:24" x14ac:dyDescent="0.3">
      <c r="A6" t="s">
        <v>4</v>
      </c>
    </row>
    <row r="7" spans="1:24" x14ac:dyDescent="0.3">
      <c r="A7" t="s">
        <v>13</v>
      </c>
      <c r="B7">
        <f>(X4/(10.8*300))*100</f>
        <v>10.336419753086419</v>
      </c>
      <c r="D7" s="6" t="s">
        <v>17</v>
      </c>
      <c r="E7" s="6">
        <v>16</v>
      </c>
      <c r="I7" s="5" t="s">
        <v>26</v>
      </c>
      <c r="J7" s="5">
        <f>+E7+E8+E18+E19+E30+E40</f>
        <v>114.5</v>
      </c>
    </row>
    <row r="8" spans="1:24" x14ac:dyDescent="0.3">
      <c r="A8" t="s">
        <v>14</v>
      </c>
      <c r="B8">
        <f>(M5/(10.8*300))*100</f>
        <v>4.9876543209876552</v>
      </c>
      <c r="D8" s="6" t="s">
        <v>18</v>
      </c>
      <c r="E8" s="6">
        <v>24</v>
      </c>
      <c r="I8" s="5" t="s">
        <v>25</v>
      </c>
      <c r="J8" s="5">
        <v>50</v>
      </c>
    </row>
    <row r="9" spans="1:24" x14ac:dyDescent="0.3">
      <c r="I9" s="5" t="s">
        <v>27</v>
      </c>
      <c r="J9" s="5">
        <f>100-J8</f>
        <v>50</v>
      </c>
    </row>
    <row r="12" spans="1:24" x14ac:dyDescent="0.3">
      <c r="A12" s="7" t="s">
        <v>6</v>
      </c>
      <c r="B12" s="7"/>
      <c r="C12" s="7"/>
      <c r="D12" s="7"/>
      <c r="E12" s="7"/>
    </row>
    <row r="13" spans="1:24" x14ac:dyDescent="0.3">
      <c r="A13" t="s">
        <v>0</v>
      </c>
      <c r="B13" s="7" t="s">
        <v>1</v>
      </c>
      <c r="C13" s="7"/>
      <c r="D13" s="7"/>
      <c r="E13" s="7"/>
    </row>
    <row r="14" spans="1:24" x14ac:dyDescent="0.3">
      <c r="A14" t="s">
        <v>2</v>
      </c>
      <c r="B14">
        <v>25.5</v>
      </c>
      <c r="C14">
        <v>54.25</v>
      </c>
      <c r="D14">
        <v>21.6</v>
      </c>
      <c r="E14">
        <v>13.5</v>
      </c>
      <c r="F14">
        <v>48.3</v>
      </c>
      <c r="G14">
        <f>B14+C14+D14+E14+F14</f>
        <v>163.14999999999998</v>
      </c>
    </row>
    <row r="15" spans="1:24" x14ac:dyDescent="0.3">
      <c r="A15" t="s">
        <v>3</v>
      </c>
      <c r="B15">
        <v>5</v>
      </c>
      <c r="C15">
        <v>28.8</v>
      </c>
      <c r="D15">
        <f>B15+C15</f>
        <v>33.799999999999997</v>
      </c>
    </row>
    <row r="16" spans="1:24" x14ac:dyDescent="0.3">
      <c r="A16" t="s">
        <v>4</v>
      </c>
    </row>
    <row r="18" spans="1:5" x14ac:dyDescent="0.3">
      <c r="A18" t="s">
        <v>13</v>
      </c>
      <c r="B18">
        <f>(G14/(10.8*300))*100</f>
        <v>5.0354938271604928</v>
      </c>
      <c r="D18" s="6" t="s">
        <v>19</v>
      </c>
      <c r="E18" s="6">
        <v>26.5</v>
      </c>
    </row>
    <row r="19" spans="1:5" x14ac:dyDescent="0.3">
      <c r="A19" t="s">
        <v>14</v>
      </c>
      <c r="B19">
        <f>(D15/3240)*100</f>
        <v>1.0432098765432098</v>
      </c>
      <c r="D19" s="6" t="s">
        <v>20</v>
      </c>
      <c r="E19" s="6">
        <v>21</v>
      </c>
    </row>
    <row r="24" spans="1:5" x14ac:dyDescent="0.3">
      <c r="A24" s="7" t="s">
        <v>7</v>
      </c>
      <c r="B24" s="7"/>
      <c r="C24" s="7"/>
      <c r="D24" s="7"/>
      <c r="E24" s="7"/>
    </row>
    <row r="25" spans="1:5" x14ac:dyDescent="0.3">
      <c r="A25" t="s">
        <v>0</v>
      </c>
      <c r="B25" s="7" t="s">
        <v>1</v>
      </c>
      <c r="C25" s="7"/>
      <c r="D25" s="7"/>
      <c r="E25" s="7"/>
    </row>
    <row r="26" spans="1:5" x14ac:dyDescent="0.3">
      <c r="A26" t="s">
        <v>2</v>
      </c>
    </row>
    <row r="27" spans="1:5" x14ac:dyDescent="0.3">
      <c r="A27" t="s">
        <v>3</v>
      </c>
    </row>
    <row r="28" spans="1:5" x14ac:dyDescent="0.3">
      <c r="A28" t="s">
        <v>4</v>
      </c>
      <c r="B28">
        <v>2</v>
      </c>
    </row>
    <row r="30" spans="1:5" x14ac:dyDescent="0.3">
      <c r="A30" t="s">
        <v>15</v>
      </c>
      <c r="B30">
        <f>(B28/3240)*100</f>
        <v>6.1728395061728392E-2</v>
      </c>
      <c r="D30" s="6" t="s">
        <v>21</v>
      </c>
      <c r="E30" s="6">
        <v>8</v>
      </c>
    </row>
    <row r="34" spans="1:5" x14ac:dyDescent="0.3">
      <c r="A34" s="7" t="s">
        <v>8</v>
      </c>
      <c r="B34" s="7"/>
      <c r="C34" s="7"/>
      <c r="D34" s="7"/>
      <c r="E34" s="7"/>
    </row>
    <row r="35" spans="1:5" x14ac:dyDescent="0.3">
      <c r="A35" t="s">
        <v>0</v>
      </c>
      <c r="B35" s="7" t="s">
        <v>1</v>
      </c>
      <c r="C35" s="7"/>
      <c r="D35" s="7"/>
      <c r="E35" s="7"/>
    </row>
    <row r="36" spans="1:5" x14ac:dyDescent="0.3">
      <c r="A36" t="s">
        <v>2</v>
      </c>
      <c r="B36">
        <v>73</v>
      </c>
      <c r="C36">
        <v>85.5</v>
      </c>
      <c r="D36">
        <v>12</v>
      </c>
      <c r="E36">
        <f>B36+C36+D36</f>
        <v>170.5</v>
      </c>
    </row>
    <row r="37" spans="1:5" x14ac:dyDescent="0.3">
      <c r="A37" t="s">
        <v>3</v>
      </c>
    </row>
    <row r="38" spans="1:5" x14ac:dyDescent="0.3">
      <c r="A38" t="s">
        <v>4</v>
      </c>
    </row>
    <row r="40" spans="1:5" x14ac:dyDescent="0.3">
      <c r="A40" t="s">
        <v>13</v>
      </c>
      <c r="B40">
        <f>(E36/3240)*100</f>
        <v>5.2623456790123457</v>
      </c>
      <c r="D40" s="6" t="s">
        <v>22</v>
      </c>
      <c r="E40" s="6">
        <v>19</v>
      </c>
    </row>
    <row r="47" spans="1:5" x14ac:dyDescent="0.3">
      <c r="A47" s="7" t="s">
        <v>9</v>
      </c>
      <c r="B47" s="7"/>
      <c r="C47" s="7"/>
      <c r="D47" s="7"/>
      <c r="E47" s="7"/>
    </row>
    <row r="48" spans="1:5" x14ac:dyDescent="0.3">
      <c r="A48" t="s">
        <v>0</v>
      </c>
      <c r="B48" s="7" t="s">
        <v>1</v>
      </c>
      <c r="C48" s="7"/>
      <c r="D48" s="7"/>
      <c r="E48" s="7"/>
    </row>
    <row r="49" spans="1:5" x14ac:dyDescent="0.3">
      <c r="A49" t="s">
        <v>2</v>
      </c>
      <c r="B49">
        <v>44.8</v>
      </c>
    </row>
    <row r="50" spans="1:5" x14ac:dyDescent="0.3">
      <c r="A50" t="s">
        <v>3</v>
      </c>
    </row>
    <row r="51" spans="1:5" x14ac:dyDescent="0.3">
      <c r="A51" t="s">
        <v>4</v>
      </c>
    </row>
    <row r="53" spans="1:5" x14ac:dyDescent="0.3">
      <c r="A53" t="s">
        <v>13</v>
      </c>
      <c r="B53">
        <f>(B49/3240)*100</f>
        <v>1.382716049382716</v>
      </c>
      <c r="D53" s="6" t="s">
        <v>23</v>
      </c>
      <c r="E53" s="6">
        <v>0.5</v>
      </c>
    </row>
    <row r="59" spans="1:5" x14ac:dyDescent="0.3">
      <c r="A59" s="7" t="s">
        <v>10</v>
      </c>
      <c r="B59" s="7"/>
      <c r="C59" s="7"/>
      <c r="D59" s="7"/>
      <c r="E59" s="7"/>
    </row>
    <row r="60" spans="1:5" x14ac:dyDescent="0.3">
      <c r="A60" t="s">
        <v>0</v>
      </c>
      <c r="B60" s="7" t="s">
        <v>1</v>
      </c>
      <c r="C60" s="7"/>
      <c r="D60" s="7"/>
      <c r="E60" s="7"/>
    </row>
    <row r="61" spans="1:5" x14ac:dyDescent="0.3">
      <c r="A61" t="s">
        <v>2</v>
      </c>
      <c r="B61">
        <v>5.8</v>
      </c>
      <c r="C61">
        <v>2.5</v>
      </c>
      <c r="D61">
        <f>B61+C61</f>
        <v>8.3000000000000007</v>
      </c>
    </row>
    <row r="62" spans="1:5" x14ac:dyDescent="0.3">
      <c r="A62" t="s">
        <v>3</v>
      </c>
    </row>
    <row r="63" spans="1:5" x14ac:dyDescent="0.3">
      <c r="A63" t="s">
        <v>4</v>
      </c>
    </row>
    <row r="65" spans="1:5" x14ac:dyDescent="0.3">
      <c r="A65" t="s">
        <v>13</v>
      </c>
      <c r="B65">
        <f>(D61/32400)*100</f>
        <v>2.5617283950617284E-2</v>
      </c>
      <c r="D65" s="6" t="s">
        <v>24</v>
      </c>
      <c r="E65" s="6">
        <v>1</v>
      </c>
    </row>
  </sheetData>
  <mergeCells count="12">
    <mergeCell ref="B48:E48"/>
    <mergeCell ref="A59:E59"/>
    <mergeCell ref="B60:E60"/>
    <mergeCell ref="A24:E24"/>
    <mergeCell ref="B25:E25"/>
    <mergeCell ref="A34:E34"/>
    <mergeCell ref="B35:E35"/>
    <mergeCell ref="B3:E3"/>
    <mergeCell ref="A2:E2"/>
    <mergeCell ref="B13:E13"/>
    <mergeCell ref="A12:E12"/>
    <mergeCell ref="A47:E47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U52"/>
  <sheetViews>
    <sheetView topLeftCell="A31" workbookViewId="0">
      <selection activeCell="F52" sqref="F52:G52"/>
    </sheetView>
  </sheetViews>
  <sheetFormatPr defaultRowHeight="14.4" x14ac:dyDescent="0.3"/>
  <cols>
    <col min="1" max="1" width="13.21875" customWidth="1"/>
  </cols>
  <sheetData>
    <row r="9" spans="1:21" x14ac:dyDescent="0.3">
      <c r="A9" s="7" t="s">
        <v>5</v>
      </c>
      <c r="B9" s="7"/>
      <c r="C9" s="7"/>
      <c r="D9" s="7"/>
      <c r="E9" s="7"/>
    </row>
    <row r="10" spans="1:21" x14ac:dyDescent="0.3">
      <c r="A10" t="s">
        <v>0</v>
      </c>
      <c r="B10" s="7" t="s">
        <v>1</v>
      </c>
      <c r="C10" s="7"/>
      <c r="D10" s="7"/>
      <c r="E10" s="7"/>
    </row>
    <row r="11" spans="1:21" x14ac:dyDescent="0.3">
      <c r="A11" t="s">
        <v>2</v>
      </c>
      <c r="B11">
        <v>20.8</v>
      </c>
      <c r="C11">
        <v>22.6</v>
      </c>
      <c r="D11">
        <v>15.9</v>
      </c>
      <c r="E11">
        <f>B11+C11+D11</f>
        <v>59.300000000000004</v>
      </c>
    </row>
    <row r="12" spans="1:21" x14ac:dyDescent="0.3">
      <c r="A12" t="s">
        <v>3</v>
      </c>
      <c r="B12">
        <v>15.7</v>
      </c>
      <c r="C12">
        <v>11</v>
      </c>
      <c r="D12">
        <v>17.399999999999999</v>
      </c>
      <c r="E12">
        <v>21.4</v>
      </c>
      <c r="F12">
        <v>14</v>
      </c>
      <c r="G12">
        <v>64</v>
      </c>
      <c r="H12">
        <v>37.5</v>
      </c>
      <c r="I12">
        <v>29.4</v>
      </c>
      <c r="J12">
        <v>20.8</v>
      </c>
      <c r="K12">
        <v>14.5</v>
      </c>
      <c r="L12">
        <v>19</v>
      </c>
      <c r="M12">
        <v>6</v>
      </c>
      <c r="N12">
        <v>10.8</v>
      </c>
      <c r="O12">
        <v>11.6</v>
      </c>
      <c r="P12">
        <v>2.7</v>
      </c>
      <c r="Q12">
        <v>10.8</v>
      </c>
      <c r="R12">
        <v>25.2</v>
      </c>
      <c r="S12">
        <v>24</v>
      </c>
      <c r="T12">
        <v>16.600000000000001</v>
      </c>
      <c r="U12">
        <f>B12+C12+D12+E12+F12+G12+H12+I12+J12+K12+L12+M12+N12+O12+P12+Q12+R12+S12+T12</f>
        <v>372.40000000000009</v>
      </c>
    </row>
    <row r="13" spans="1:21" x14ac:dyDescent="0.3">
      <c r="A13" t="s">
        <v>4</v>
      </c>
      <c r="B13">
        <v>21</v>
      </c>
    </row>
    <row r="15" spans="1:21" x14ac:dyDescent="0.3">
      <c r="A15" t="s">
        <v>13</v>
      </c>
      <c r="B15">
        <f>(E11/3405)*100</f>
        <v>1.7415565345080763</v>
      </c>
      <c r="F15" s="6" t="s">
        <v>28</v>
      </c>
      <c r="G15" s="6">
        <v>4.5</v>
      </c>
    </row>
    <row r="16" spans="1:21" x14ac:dyDescent="0.3">
      <c r="A16" t="s">
        <v>14</v>
      </c>
      <c r="B16">
        <f>(U12/3405)*100</f>
        <v>10.936857562408225</v>
      </c>
      <c r="F16" s="6" t="s">
        <v>28</v>
      </c>
      <c r="G16" s="6">
        <v>40</v>
      </c>
    </row>
    <row r="17" spans="1:15" x14ac:dyDescent="0.3">
      <c r="A17" t="s">
        <v>15</v>
      </c>
      <c r="B17">
        <f>(B13/3405)*100</f>
        <v>0.61674008810572689</v>
      </c>
      <c r="F17" s="6" t="s">
        <v>28</v>
      </c>
      <c r="G17" s="6">
        <v>14</v>
      </c>
    </row>
    <row r="19" spans="1:15" x14ac:dyDescent="0.3">
      <c r="A19" s="9" t="s">
        <v>6</v>
      </c>
      <c r="B19" s="9"/>
      <c r="C19" s="9"/>
      <c r="D19" s="9"/>
      <c r="E19" s="9"/>
      <c r="F19" s="3"/>
      <c r="G19" s="3"/>
    </row>
    <row r="20" spans="1:15" x14ac:dyDescent="0.3">
      <c r="A20" s="3" t="s">
        <v>0</v>
      </c>
      <c r="B20" s="9" t="s">
        <v>1</v>
      </c>
      <c r="C20" s="9"/>
      <c r="D20" s="9"/>
      <c r="E20" s="9"/>
      <c r="F20" s="3"/>
      <c r="G20" s="3"/>
      <c r="N20" s="5" t="s">
        <v>26</v>
      </c>
      <c r="O20" s="5">
        <f>G15+G16+G17+G25+G52</f>
        <v>77.5</v>
      </c>
    </row>
    <row r="21" spans="1:15" x14ac:dyDescent="0.3">
      <c r="A21" s="3" t="s">
        <v>2</v>
      </c>
      <c r="B21" s="3">
        <v>44.88</v>
      </c>
      <c r="C21" s="3"/>
      <c r="D21" s="3">
        <v>14.1</v>
      </c>
      <c r="E21" s="3">
        <v>57.9</v>
      </c>
      <c r="F21" s="3">
        <v>22.5</v>
      </c>
      <c r="G21" s="3">
        <v>7</v>
      </c>
      <c r="H21">
        <f>B21+D21+E21+F21+G21</f>
        <v>146.38</v>
      </c>
      <c r="N21" s="5" t="s">
        <v>25</v>
      </c>
      <c r="O21" s="5">
        <v>39</v>
      </c>
    </row>
    <row r="22" spans="1:15" x14ac:dyDescent="0.3">
      <c r="A22" s="3" t="s">
        <v>3</v>
      </c>
      <c r="B22" s="3"/>
      <c r="C22" s="3"/>
      <c r="D22" s="3"/>
      <c r="E22" s="3"/>
      <c r="F22" s="3"/>
      <c r="G22" s="3"/>
      <c r="N22" s="5" t="s">
        <v>27</v>
      </c>
      <c r="O22" s="5">
        <f>100-O21</f>
        <v>61</v>
      </c>
    </row>
    <row r="23" spans="1:15" x14ac:dyDescent="0.3">
      <c r="A23" s="3" t="s">
        <v>4</v>
      </c>
      <c r="B23" s="3"/>
      <c r="C23" s="3"/>
      <c r="D23" s="3"/>
      <c r="E23" s="3"/>
      <c r="F23" s="3"/>
      <c r="G23" s="3"/>
    </row>
    <row r="25" spans="1:15" x14ac:dyDescent="0.3">
      <c r="A25" t="s">
        <v>13</v>
      </c>
      <c r="B25">
        <f>(H21/3405)*100</f>
        <v>4.2989720998531569</v>
      </c>
      <c r="F25" s="6" t="s">
        <v>28</v>
      </c>
      <c r="G25" s="6">
        <v>4.5</v>
      </c>
    </row>
    <row r="31" spans="1:15" x14ac:dyDescent="0.3">
      <c r="A31" s="8" t="s">
        <v>7</v>
      </c>
      <c r="B31" s="8"/>
      <c r="C31" s="8"/>
      <c r="D31" s="8"/>
      <c r="E31" s="8"/>
    </row>
    <row r="32" spans="1:15" x14ac:dyDescent="0.3">
      <c r="A32" s="2" t="s">
        <v>0</v>
      </c>
      <c r="B32" s="8" t="s">
        <v>1</v>
      </c>
      <c r="C32" s="8"/>
      <c r="D32" s="8"/>
      <c r="E32" s="8"/>
    </row>
    <row r="33" spans="1:7" x14ac:dyDescent="0.3">
      <c r="A33" s="2" t="s">
        <v>2</v>
      </c>
      <c r="B33" s="2"/>
      <c r="C33" s="2"/>
      <c r="D33" s="2"/>
      <c r="E33" s="2"/>
    </row>
    <row r="34" spans="1:7" x14ac:dyDescent="0.3">
      <c r="A34" s="2" t="s">
        <v>3</v>
      </c>
      <c r="B34" s="2">
        <v>3</v>
      </c>
      <c r="C34" s="2"/>
      <c r="D34" s="2"/>
      <c r="E34" s="2"/>
    </row>
    <row r="35" spans="1:7" x14ac:dyDescent="0.3">
      <c r="A35" s="2" t="s">
        <v>4</v>
      </c>
      <c r="B35" s="2"/>
      <c r="C35" s="2"/>
      <c r="D35" s="2"/>
      <c r="E35" s="2"/>
    </row>
    <row r="36" spans="1:7" x14ac:dyDescent="0.3">
      <c r="A36" s="2"/>
      <c r="B36" s="2"/>
      <c r="C36" s="2"/>
      <c r="D36" s="2"/>
      <c r="E36" s="2"/>
    </row>
    <row r="38" spans="1:7" x14ac:dyDescent="0.3">
      <c r="A38" t="s">
        <v>14</v>
      </c>
      <c r="B38">
        <f>(B34/3405)*100</f>
        <v>8.8105726872246701E-2</v>
      </c>
      <c r="F38" s="6" t="s">
        <v>28</v>
      </c>
      <c r="G38" s="6">
        <v>0</v>
      </c>
    </row>
    <row r="46" spans="1:7" x14ac:dyDescent="0.3">
      <c r="A46" s="7" t="s">
        <v>9</v>
      </c>
      <c r="B46" s="7"/>
      <c r="C46" s="7"/>
      <c r="D46" s="7"/>
      <c r="E46" s="7"/>
    </row>
    <row r="47" spans="1:7" x14ac:dyDescent="0.3">
      <c r="A47" t="s">
        <v>0</v>
      </c>
      <c r="B47" s="7" t="s">
        <v>1</v>
      </c>
      <c r="C47" s="7"/>
      <c r="D47" s="7"/>
      <c r="E47" s="7"/>
    </row>
    <row r="48" spans="1:7" x14ac:dyDescent="0.3">
      <c r="A48" t="s">
        <v>2</v>
      </c>
      <c r="B48">
        <v>381.5</v>
      </c>
    </row>
    <row r="49" spans="1:7" x14ac:dyDescent="0.3">
      <c r="A49" t="s">
        <v>3</v>
      </c>
    </row>
    <row r="50" spans="1:7" x14ac:dyDescent="0.3">
      <c r="A50" t="s">
        <v>4</v>
      </c>
    </row>
    <row r="52" spans="1:7" x14ac:dyDescent="0.3">
      <c r="A52" t="s">
        <v>13</v>
      </c>
      <c r="B52">
        <f>(B48/3405)*100</f>
        <v>11.204111600587371</v>
      </c>
      <c r="F52" s="6" t="s">
        <v>28</v>
      </c>
      <c r="G52" s="6">
        <v>14.5</v>
      </c>
    </row>
  </sheetData>
  <mergeCells count="8">
    <mergeCell ref="A31:E31"/>
    <mergeCell ref="B32:E32"/>
    <mergeCell ref="A46:E46"/>
    <mergeCell ref="B47:E47"/>
    <mergeCell ref="A9:E9"/>
    <mergeCell ref="B10:E10"/>
    <mergeCell ref="A19:E19"/>
    <mergeCell ref="B20:E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U51"/>
  <sheetViews>
    <sheetView topLeftCell="A37" workbookViewId="0">
      <selection activeCell="E51" sqref="E51:F51"/>
    </sheetView>
  </sheetViews>
  <sheetFormatPr defaultRowHeight="14.4" x14ac:dyDescent="0.3"/>
  <cols>
    <col min="1" max="1" width="12.44140625" customWidth="1"/>
  </cols>
  <sheetData>
    <row r="6" spans="1:21" x14ac:dyDescent="0.3">
      <c r="A6" s="7" t="s">
        <v>5</v>
      </c>
      <c r="B6" s="7"/>
      <c r="C6" s="7"/>
      <c r="D6" s="7"/>
      <c r="E6" s="7"/>
    </row>
    <row r="7" spans="1:21" x14ac:dyDescent="0.3">
      <c r="A7" t="s">
        <v>0</v>
      </c>
      <c r="B7" s="7" t="s">
        <v>1</v>
      </c>
      <c r="C7" s="7"/>
      <c r="D7" s="7"/>
      <c r="E7" s="7"/>
    </row>
    <row r="8" spans="1:21" x14ac:dyDescent="0.3">
      <c r="A8" t="s">
        <v>2</v>
      </c>
      <c r="B8">
        <v>11</v>
      </c>
      <c r="C8">
        <v>28</v>
      </c>
      <c r="D8">
        <v>12</v>
      </c>
      <c r="E8">
        <v>11.2</v>
      </c>
      <c r="F8">
        <v>10.5</v>
      </c>
      <c r="G8">
        <v>8</v>
      </c>
      <c r="H8">
        <v>9.5</v>
      </c>
      <c r="I8">
        <v>10</v>
      </c>
      <c r="J8">
        <v>17.7</v>
      </c>
      <c r="K8">
        <v>13.1</v>
      </c>
      <c r="L8">
        <v>8.5</v>
      </c>
      <c r="M8">
        <v>28</v>
      </c>
      <c r="N8">
        <v>11.2</v>
      </c>
      <c r="O8">
        <v>11.5</v>
      </c>
      <c r="P8">
        <v>11.5</v>
      </c>
      <c r="Q8">
        <v>11.5</v>
      </c>
      <c r="R8">
        <v>11.5</v>
      </c>
      <c r="S8">
        <v>23</v>
      </c>
      <c r="T8">
        <v>9</v>
      </c>
      <c r="U8">
        <f>B8+C8+D8+E8+F8+G8+H8+I8+J8+K8+L8+M8+N8+O8+P8+Q8+R8+S8+T8</f>
        <v>256.7</v>
      </c>
    </row>
    <row r="9" spans="1:21" x14ac:dyDescent="0.3">
      <c r="A9" t="s">
        <v>3</v>
      </c>
      <c r="B9">
        <v>34.5</v>
      </c>
      <c r="C9">
        <v>5.5</v>
      </c>
      <c r="D9">
        <v>11.4</v>
      </c>
      <c r="E9">
        <v>19</v>
      </c>
      <c r="F9">
        <v>11.5</v>
      </c>
      <c r="G9">
        <v>6.2</v>
      </c>
      <c r="H9">
        <v>11.5</v>
      </c>
      <c r="I9">
        <v>5.5</v>
      </c>
      <c r="J9">
        <f>B9+C9+D9+E9+F9+G9+H9+I9</f>
        <v>105.10000000000001</v>
      </c>
    </row>
    <row r="10" spans="1:21" x14ac:dyDescent="0.3">
      <c r="A10" t="s">
        <v>4</v>
      </c>
      <c r="B10">
        <v>11.5</v>
      </c>
    </row>
    <row r="11" spans="1:21" x14ac:dyDescent="0.3">
      <c r="K11" s="5" t="s">
        <v>26</v>
      </c>
      <c r="L11" s="5">
        <f>F12+F13+F14+F22+F38+F51</f>
        <v>118.5</v>
      </c>
    </row>
    <row r="12" spans="1:21" x14ac:dyDescent="0.3">
      <c r="A12" t="s">
        <v>13</v>
      </c>
      <c r="B12">
        <f>(U8/2730)*100</f>
        <v>9.4029304029304033</v>
      </c>
      <c r="E12" s="6" t="s">
        <v>28</v>
      </c>
      <c r="F12" s="6">
        <v>19.2</v>
      </c>
      <c r="K12" s="5" t="s">
        <v>25</v>
      </c>
      <c r="L12" s="5">
        <v>56</v>
      </c>
    </row>
    <row r="13" spans="1:21" x14ac:dyDescent="0.3">
      <c r="A13" t="s">
        <v>14</v>
      </c>
      <c r="B13">
        <f>(J9/2730)*100</f>
        <v>3.8498168498168499</v>
      </c>
      <c r="E13" s="6" t="s">
        <v>28</v>
      </c>
      <c r="F13" s="6">
        <v>20</v>
      </c>
      <c r="K13" s="5" t="s">
        <v>27</v>
      </c>
      <c r="L13" s="5">
        <f>100-L12</f>
        <v>44</v>
      </c>
    </row>
    <row r="14" spans="1:21" x14ac:dyDescent="0.3">
      <c r="A14" t="s">
        <v>15</v>
      </c>
      <c r="B14">
        <f>(B10/2730)*100</f>
        <v>0.42124542124542125</v>
      </c>
      <c r="E14" s="6" t="s">
        <v>28</v>
      </c>
      <c r="F14" s="6">
        <v>11.3</v>
      </c>
    </row>
    <row r="16" spans="1:21" x14ac:dyDescent="0.3">
      <c r="A16" s="7" t="s">
        <v>6</v>
      </c>
      <c r="B16" s="7"/>
      <c r="C16" s="7"/>
      <c r="D16" s="7"/>
      <c r="E16" s="7"/>
    </row>
    <row r="17" spans="1:8" x14ac:dyDescent="0.3">
      <c r="A17" t="s">
        <v>0</v>
      </c>
      <c r="B17" s="7" t="s">
        <v>1</v>
      </c>
      <c r="C17" s="7"/>
      <c r="D17" s="7"/>
      <c r="E17" s="7"/>
    </row>
    <row r="18" spans="1:8" x14ac:dyDescent="0.3">
      <c r="A18" t="s">
        <v>2</v>
      </c>
      <c r="B18">
        <v>10</v>
      </c>
      <c r="C18">
        <v>18</v>
      </c>
      <c r="D18">
        <v>20</v>
      </c>
      <c r="E18">
        <v>24</v>
      </c>
      <c r="F18">
        <v>133.19999999999999</v>
      </c>
      <c r="G18">
        <v>3</v>
      </c>
      <c r="H18">
        <f>B18+C18+D18+E18+F18+G18</f>
        <v>208.2</v>
      </c>
    </row>
    <row r="19" spans="1:8" x14ac:dyDescent="0.3">
      <c r="A19" t="s">
        <v>3</v>
      </c>
    </row>
    <row r="20" spans="1:8" x14ac:dyDescent="0.3">
      <c r="A20" t="s">
        <v>4</v>
      </c>
    </row>
    <row r="22" spans="1:8" x14ac:dyDescent="0.3">
      <c r="A22" t="s">
        <v>13</v>
      </c>
      <c r="B22">
        <f>(H18/2730)*100</f>
        <v>7.626373626373625</v>
      </c>
      <c r="E22" s="6" t="s">
        <v>28</v>
      </c>
      <c r="F22" s="6">
        <v>30.1</v>
      </c>
    </row>
    <row r="32" spans="1:8" x14ac:dyDescent="0.3">
      <c r="A32" s="10" t="s">
        <v>11</v>
      </c>
      <c r="B32" s="10"/>
      <c r="C32" s="10"/>
      <c r="D32" s="10"/>
      <c r="E32" s="10"/>
    </row>
    <row r="33" spans="1:6" x14ac:dyDescent="0.3">
      <c r="A33" s="1" t="s">
        <v>0</v>
      </c>
      <c r="B33" s="10" t="s">
        <v>1</v>
      </c>
      <c r="C33" s="10"/>
      <c r="D33" s="10"/>
      <c r="E33" s="10"/>
    </row>
    <row r="34" spans="1:6" x14ac:dyDescent="0.3">
      <c r="A34" s="1" t="s">
        <v>2</v>
      </c>
      <c r="B34" s="1">
        <v>6</v>
      </c>
      <c r="C34" s="1"/>
      <c r="D34" s="1"/>
      <c r="E34" s="1"/>
    </row>
    <row r="35" spans="1:6" x14ac:dyDescent="0.3">
      <c r="A35" s="1" t="s">
        <v>3</v>
      </c>
      <c r="B35" s="1"/>
      <c r="C35" s="1"/>
      <c r="D35" s="1"/>
      <c r="E35" s="1"/>
    </row>
    <row r="36" spans="1:6" x14ac:dyDescent="0.3">
      <c r="A36" s="1" t="s">
        <v>4</v>
      </c>
      <c r="B36" s="1"/>
      <c r="C36" s="1"/>
      <c r="D36" s="1"/>
      <c r="E36" s="1"/>
    </row>
    <row r="38" spans="1:6" x14ac:dyDescent="0.3">
      <c r="A38" t="s">
        <v>13</v>
      </c>
      <c r="B38">
        <f>(B34/2730)*100</f>
        <v>0.21978021978021978</v>
      </c>
      <c r="E38" s="6" t="s">
        <v>28</v>
      </c>
      <c r="F38" s="6">
        <v>30</v>
      </c>
    </row>
    <row r="45" spans="1:6" x14ac:dyDescent="0.3">
      <c r="A45" s="7" t="s">
        <v>9</v>
      </c>
      <c r="B45" s="7"/>
      <c r="C45" s="7"/>
      <c r="D45" s="7"/>
      <c r="E45" s="7"/>
    </row>
    <row r="46" spans="1:6" x14ac:dyDescent="0.3">
      <c r="A46" t="s">
        <v>0</v>
      </c>
      <c r="B46" s="7" t="s">
        <v>1</v>
      </c>
      <c r="C46" s="7"/>
      <c r="D46" s="7"/>
      <c r="E46" s="7"/>
    </row>
    <row r="47" spans="1:6" x14ac:dyDescent="0.3">
      <c r="A47" t="s">
        <v>2</v>
      </c>
      <c r="B47">
        <v>52</v>
      </c>
      <c r="C47">
        <v>152.94999999999999</v>
      </c>
      <c r="D47">
        <f>B47+C47</f>
        <v>204.95</v>
      </c>
    </row>
    <row r="48" spans="1:6" x14ac:dyDescent="0.3">
      <c r="A48" t="s">
        <v>3</v>
      </c>
    </row>
    <row r="49" spans="1:6" x14ac:dyDescent="0.3">
      <c r="A49" t="s">
        <v>4</v>
      </c>
    </row>
    <row r="51" spans="1:6" x14ac:dyDescent="0.3">
      <c r="A51" t="s">
        <v>13</v>
      </c>
      <c r="B51">
        <f>(D47/2730)*100</f>
        <v>7.5073260073260064</v>
      </c>
      <c r="E51" s="6" t="s">
        <v>28</v>
      </c>
      <c r="F51" s="6">
        <v>7.9</v>
      </c>
    </row>
  </sheetData>
  <mergeCells count="8">
    <mergeCell ref="A32:E32"/>
    <mergeCell ref="B33:E33"/>
    <mergeCell ref="A45:E45"/>
    <mergeCell ref="B46:E46"/>
    <mergeCell ref="A6:E6"/>
    <mergeCell ref="B7:E7"/>
    <mergeCell ref="A16:E16"/>
    <mergeCell ref="B17:E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4:Y50"/>
  <sheetViews>
    <sheetView topLeftCell="A4" workbookViewId="0">
      <selection activeCell="H27" sqref="H27"/>
    </sheetView>
  </sheetViews>
  <sheetFormatPr defaultRowHeight="14.4" x14ac:dyDescent="0.3"/>
  <cols>
    <col min="1" max="1" width="14.77734375" customWidth="1"/>
  </cols>
  <sheetData>
    <row r="4" spans="1:25" x14ac:dyDescent="0.3">
      <c r="A4" s="7" t="s">
        <v>5</v>
      </c>
      <c r="B4" s="7"/>
      <c r="C4" s="7"/>
      <c r="D4" s="7"/>
      <c r="E4" s="7"/>
    </row>
    <row r="5" spans="1:25" x14ac:dyDescent="0.3">
      <c r="A5" t="s">
        <v>0</v>
      </c>
      <c r="B5" s="7" t="s">
        <v>1</v>
      </c>
      <c r="C5" s="7"/>
      <c r="D5" s="7"/>
      <c r="E5" s="7"/>
    </row>
    <row r="6" spans="1:25" x14ac:dyDescent="0.3">
      <c r="A6" t="s">
        <v>2</v>
      </c>
      <c r="B6">
        <v>10</v>
      </c>
      <c r="C6">
        <v>6.2</v>
      </c>
      <c r="D6">
        <v>5.5</v>
      </c>
      <c r="E6">
        <v>16</v>
      </c>
      <c r="F6">
        <v>7</v>
      </c>
      <c r="G6">
        <v>4.5</v>
      </c>
      <c r="H6">
        <v>15</v>
      </c>
      <c r="I6">
        <f>B6+C6+D6+E6+F6+G6+H6</f>
        <v>64.2</v>
      </c>
    </row>
    <row r="7" spans="1:25" x14ac:dyDescent="0.3">
      <c r="A7" t="s">
        <v>3</v>
      </c>
      <c r="B7">
        <v>18.2</v>
      </c>
      <c r="C7">
        <v>18.2</v>
      </c>
      <c r="D7">
        <v>4</v>
      </c>
      <c r="E7">
        <v>18.5</v>
      </c>
      <c r="F7">
        <v>9.8000000000000007</v>
      </c>
      <c r="G7">
        <v>4</v>
      </c>
      <c r="H7">
        <v>11.7</v>
      </c>
      <c r="I7">
        <v>11</v>
      </c>
      <c r="J7">
        <v>6.5</v>
      </c>
      <c r="K7">
        <v>11</v>
      </c>
      <c r="L7">
        <v>30</v>
      </c>
      <c r="M7">
        <v>10.5</v>
      </c>
      <c r="N7">
        <v>11</v>
      </c>
      <c r="O7">
        <v>11</v>
      </c>
      <c r="P7">
        <v>10</v>
      </c>
      <c r="Q7">
        <v>8</v>
      </c>
      <c r="R7">
        <v>10</v>
      </c>
      <c r="S7">
        <v>10.1</v>
      </c>
      <c r="T7">
        <v>10</v>
      </c>
      <c r="U7">
        <v>9.5</v>
      </c>
      <c r="V7">
        <v>11</v>
      </c>
      <c r="W7">
        <v>8.5</v>
      </c>
      <c r="X7">
        <v>46</v>
      </c>
      <c r="Y7">
        <f>B7+C7+D7+E7+F7+G7+H7+I7+J7+K7+L7+M7+N7+O7+P7+Q7+R7+S7+T7+U7+V7+W7+X7</f>
        <v>298.5</v>
      </c>
    </row>
    <row r="8" spans="1:25" x14ac:dyDescent="0.3">
      <c r="A8" t="s">
        <v>4</v>
      </c>
      <c r="B8">
        <v>22</v>
      </c>
    </row>
    <row r="10" spans="1:25" x14ac:dyDescent="0.3">
      <c r="A10" t="s">
        <v>13</v>
      </c>
      <c r="B10">
        <f>(I6/2730)*100</f>
        <v>2.3516483516483517</v>
      </c>
      <c r="F10" s="6" t="s">
        <v>28</v>
      </c>
      <c r="G10" s="6">
        <v>7</v>
      </c>
      <c r="L10" s="5" t="s">
        <v>26</v>
      </c>
      <c r="M10" s="5">
        <f>G10+G11+G12+G20+G21+G35+G48+G49+G50</f>
        <v>186.7</v>
      </c>
    </row>
    <row r="11" spans="1:25" x14ac:dyDescent="0.3">
      <c r="A11" t="s">
        <v>14</v>
      </c>
      <c r="B11">
        <f>(Y7/2730)*100</f>
        <v>10.934065934065934</v>
      </c>
      <c r="F11" s="6" t="s">
        <v>28</v>
      </c>
      <c r="G11" s="6">
        <v>40</v>
      </c>
      <c r="L11" s="5" t="s">
        <v>25</v>
      </c>
      <c r="M11" s="5">
        <v>80</v>
      </c>
    </row>
    <row r="12" spans="1:25" x14ac:dyDescent="0.3">
      <c r="A12" t="s">
        <v>15</v>
      </c>
      <c r="B12">
        <f>(B8/2730)*100</f>
        <v>0.805860805860806</v>
      </c>
      <c r="F12" s="6" t="s">
        <v>28</v>
      </c>
      <c r="G12" s="6">
        <v>17</v>
      </c>
      <c r="L12" s="5" t="s">
        <v>27</v>
      </c>
      <c r="M12" s="5">
        <f>100-M11</f>
        <v>20</v>
      </c>
    </row>
    <row r="14" spans="1:25" x14ac:dyDescent="0.3">
      <c r="A14" s="7" t="s">
        <v>6</v>
      </c>
      <c r="B14" s="7"/>
      <c r="C14" s="7"/>
      <c r="D14" s="7"/>
      <c r="E14" s="7"/>
    </row>
    <row r="15" spans="1:25" x14ac:dyDescent="0.3">
      <c r="A15" t="s">
        <v>0</v>
      </c>
      <c r="B15" s="7" t="s">
        <v>1</v>
      </c>
      <c r="C15" s="7"/>
      <c r="D15" s="7"/>
      <c r="E15" s="7"/>
    </row>
    <row r="16" spans="1:25" x14ac:dyDescent="0.3">
      <c r="A16" t="s">
        <v>2</v>
      </c>
      <c r="B16">
        <v>12</v>
      </c>
      <c r="C16">
        <v>4</v>
      </c>
      <c r="D16">
        <v>15</v>
      </c>
      <c r="E16">
        <v>21.6</v>
      </c>
      <c r="F16">
        <v>8</v>
      </c>
      <c r="G16">
        <v>54.25</v>
      </c>
      <c r="H16">
        <v>18</v>
      </c>
      <c r="I16">
        <v>85</v>
      </c>
      <c r="J16">
        <f>B16+C16+D16+E16+F16+G16+H16+I16</f>
        <v>217.85</v>
      </c>
    </row>
    <row r="17" spans="1:7" x14ac:dyDescent="0.3">
      <c r="A17" t="s">
        <v>3</v>
      </c>
      <c r="B17">
        <v>40</v>
      </c>
      <c r="C17">
        <v>33</v>
      </c>
      <c r="D17">
        <f>B17+C17</f>
        <v>73</v>
      </c>
    </row>
    <row r="18" spans="1:7" x14ac:dyDescent="0.3">
      <c r="A18" t="s">
        <v>4</v>
      </c>
    </row>
    <row r="20" spans="1:7" x14ac:dyDescent="0.3">
      <c r="A20" t="s">
        <v>13</v>
      </c>
      <c r="B20">
        <f>(J16/2730)*100</f>
        <v>7.9798534798534799</v>
      </c>
      <c r="F20" s="6" t="s">
        <v>28</v>
      </c>
      <c r="G20" s="6">
        <v>30</v>
      </c>
    </row>
    <row r="21" spans="1:7" x14ac:dyDescent="0.3">
      <c r="A21" t="s">
        <v>14</v>
      </c>
      <c r="B21">
        <f>(D17/2730)*100</f>
        <v>2.6739926739926738</v>
      </c>
      <c r="F21" s="6" t="s">
        <v>28</v>
      </c>
      <c r="G21" s="6">
        <v>43.2</v>
      </c>
    </row>
    <row r="29" spans="1:7" x14ac:dyDescent="0.3">
      <c r="A29" s="7" t="s">
        <v>8</v>
      </c>
      <c r="B29" s="7"/>
      <c r="C29" s="7"/>
      <c r="D29" s="7"/>
      <c r="E29" s="7"/>
    </row>
    <row r="30" spans="1:7" x14ac:dyDescent="0.3">
      <c r="A30" t="s">
        <v>0</v>
      </c>
      <c r="B30" s="7" t="s">
        <v>1</v>
      </c>
      <c r="C30" s="7"/>
      <c r="D30" s="7"/>
      <c r="E30" s="7"/>
    </row>
    <row r="31" spans="1:7" x14ac:dyDescent="0.3">
      <c r="A31" t="s">
        <v>2</v>
      </c>
      <c r="B31">
        <v>142.6</v>
      </c>
    </row>
    <row r="32" spans="1:7" x14ac:dyDescent="0.3">
      <c r="A32" t="s">
        <v>3</v>
      </c>
    </row>
    <row r="33" spans="1:7" x14ac:dyDescent="0.3">
      <c r="A33" t="s">
        <v>4</v>
      </c>
    </row>
    <row r="35" spans="1:7" x14ac:dyDescent="0.3">
      <c r="A35" t="s">
        <v>13</v>
      </c>
      <c r="B35">
        <f>(B31/2730)*100</f>
        <v>5.2234432234432235</v>
      </c>
      <c r="F35" s="6" t="s">
        <v>28</v>
      </c>
      <c r="G35" s="6">
        <v>19.5</v>
      </c>
    </row>
    <row r="42" spans="1:7" x14ac:dyDescent="0.3">
      <c r="A42" s="7" t="s">
        <v>9</v>
      </c>
      <c r="B42" s="7"/>
      <c r="C42" s="7"/>
      <c r="D42" s="7"/>
      <c r="E42" s="7"/>
    </row>
    <row r="43" spans="1:7" x14ac:dyDescent="0.3">
      <c r="A43" t="s">
        <v>0</v>
      </c>
      <c r="B43" s="7" t="s">
        <v>1</v>
      </c>
      <c r="C43" s="7"/>
      <c r="D43" s="7"/>
      <c r="E43" s="7"/>
    </row>
    <row r="44" spans="1:7" x14ac:dyDescent="0.3">
      <c r="A44" t="s">
        <v>2</v>
      </c>
      <c r="B44">
        <v>66</v>
      </c>
      <c r="C44">
        <v>12</v>
      </c>
      <c r="D44">
        <f>B44+C44</f>
        <v>78</v>
      </c>
    </row>
    <row r="45" spans="1:7" x14ac:dyDescent="0.3">
      <c r="A45" t="s">
        <v>3</v>
      </c>
      <c r="B45">
        <v>144</v>
      </c>
      <c r="C45">
        <v>84</v>
      </c>
      <c r="D45">
        <v>10</v>
      </c>
      <c r="E45">
        <v>44</v>
      </c>
      <c r="F45">
        <v>86</v>
      </c>
      <c r="G45">
        <f>B45+C45+D45+E45+F45</f>
        <v>368</v>
      </c>
    </row>
    <row r="46" spans="1:7" x14ac:dyDescent="0.3">
      <c r="A46" t="s">
        <v>4</v>
      </c>
      <c r="B46">
        <v>84</v>
      </c>
    </row>
    <row r="48" spans="1:7" x14ac:dyDescent="0.3">
      <c r="A48" t="s">
        <v>13</v>
      </c>
      <c r="B48">
        <f>(D44/2730)*100</f>
        <v>2.8571428571428572</v>
      </c>
      <c r="F48" s="6" t="s">
        <v>28</v>
      </c>
      <c r="G48" s="6">
        <v>3</v>
      </c>
    </row>
    <row r="49" spans="1:7" x14ac:dyDescent="0.3">
      <c r="A49" t="s">
        <v>14</v>
      </c>
      <c r="B49">
        <f>(G45/2730)*100</f>
        <v>13.47985347985348</v>
      </c>
      <c r="F49" s="6" t="s">
        <v>28</v>
      </c>
      <c r="G49" s="6">
        <v>10</v>
      </c>
    </row>
    <row r="50" spans="1:7" x14ac:dyDescent="0.3">
      <c r="A50" t="s">
        <v>15</v>
      </c>
      <c r="B50">
        <f>(B46/2730)*100</f>
        <v>3.0769230769230771</v>
      </c>
      <c r="F50" s="6" t="s">
        <v>28</v>
      </c>
      <c r="G50" s="6">
        <v>17</v>
      </c>
    </row>
  </sheetData>
  <mergeCells count="8">
    <mergeCell ref="A29:E29"/>
    <mergeCell ref="B30:E30"/>
    <mergeCell ref="A42:E42"/>
    <mergeCell ref="B43:E43"/>
    <mergeCell ref="A4:E4"/>
    <mergeCell ref="B5:E5"/>
    <mergeCell ref="A14:E14"/>
    <mergeCell ref="B15:E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48"/>
  <sheetViews>
    <sheetView topLeftCell="A37" workbookViewId="0">
      <selection activeCell="G48" sqref="G48:H48"/>
    </sheetView>
  </sheetViews>
  <sheetFormatPr defaultRowHeight="14.4" x14ac:dyDescent="0.3"/>
  <cols>
    <col min="1" max="1" width="13.21875" customWidth="1"/>
  </cols>
  <sheetData>
    <row r="5" spans="1:15" x14ac:dyDescent="0.3">
      <c r="A5" s="7" t="s">
        <v>5</v>
      </c>
      <c r="B5" s="7"/>
      <c r="C5" s="7"/>
      <c r="D5" s="7"/>
      <c r="E5" s="7"/>
    </row>
    <row r="6" spans="1:15" x14ac:dyDescent="0.3">
      <c r="A6" t="s">
        <v>0</v>
      </c>
      <c r="B6" s="7" t="s">
        <v>1</v>
      </c>
      <c r="C6" s="7"/>
      <c r="D6" s="7"/>
      <c r="E6" s="7"/>
    </row>
    <row r="7" spans="1:15" x14ac:dyDescent="0.3">
      <c r="A7" t="s">
        <v>2</v>
      </c>
      <c r="B7">
        <v>10</v>
      </c>
      <c r="C7">
        <v>17</v>
      </c>
      <c r="D7">
        <v>9</v>
      </c>
      <c r="E7">
        <v>25</v>
      </c>
      <c r="F7">
        <v>132</v>
      </c>
      <c r="G7">
        <f>B7+C7+D7+E7+F7</f>
        <v>193</v>
      </c>
    </row>
    <row r="8" spans="1:15" x14ac:dyDescent="0.3">
      <c r="A8" t="s">
        <v>3</v>
      </c>
      <c r="B8">
        <v>18.2</v>
      </c>
      <c r="C8">
        <v>18.5</v>
      </c>
      <c r="D8">
        <v>7</v>
      </c>
      <c r="E8">
        <v>7</v>
      </c>
      <c r="F8">
        <v>15</v>
      </c>
      <c r="G8">
        <v>37</v>
      </c>
      <c r="H8">
        <v>100</v>
      </c>
      <c r="I8">
        <v>70</v>
      </c>
      <c r="J8">
        <v>5.2</v>
      </c>
      <c r="K8">
        <v>8</v>
      </c>
      <c r="L8">
        <v>70</v>
      </c>
      <c r="M8">
        <v>6.5</v>
      </c>
      <c r="N8">
        <v>55</v>
      </c>
      <c r="O8">
        <f>B8+C8+D8+E8+F8+G8+H8+I8+J8+K8+L8+M8+N8</f>
        <v>417.4</v>
      </c>
    </row>
    <row r="9" spans="1:15" x14ac:dyDescent="0.3">
      <c r="A9" t="s">
        <v>4</v>
      </c>
    </row>
    <row r="11" spans="1:15" x14ac:dyDescent="0.3">
      <c r="A11" t="s">
        <v>13</v>
      </c>
      <c r="B11">
        <f>(G7/4830)*100</f>
        <v>3.9958592132505175</v>
      </c>
      <c r="G11" s="6" t="s">
        <v>28</v>
      </c>
      <c r="H11" s="6">
        <v>9.6999999999999993</v>
      </c>
      <c r="K11" s="5" t="s">
        <v>26</v>
      </c>
      <c r="L11" s="5">
        <f>H11+H12+H21+H36+H48</f>
        <v>84.2</v>
      </c>
    </row>
    <row r="12" spans="1:15" x14ac:dyDescent="0.3">
      <c r="A12" t="s">
        <v>14</v>
      </c>
      <c r="B12">
        <f>(O8/4830)*100</f>
        <v>8.6418219461697721</v>
      </c>
      <c r="G12" s="6" t="s">
        <v>28</v>
      </c>
      <c r="H12" s="6">
        <v>30</v>
      </c>
      <c r="K12" s="5" t="s">
        <v>25</v>
      </c>
      <c r="L12" s="5">
        <v>42</v>
      </c>
    </row>
    <row r="13" spans="1:15" x14ac:dyDescent="0.3">
      <c r="K13" s="5" t="s">
        <v>27</v>
      </c>
      <c r="L13" s="5">
        <f>100-L12</f>
        <v>58</v>
      </c>
    </row>
    <row r="15" spans="1:15" x14ac:dyDescent="0.3">
      <c r="A15" s="7" t="s">
        <v>6</v>
      </c>
      <c r="B15" s="7"/>
      <c r="C15" s="7"/>
      <c r="D15" s="7"/>
      <c r="E15" s="7"/>
    </row>
    <row r="16" spans="1:15" x14ac:dyDescent="0.3">
      <c r="A16" t="s">
        <v>0</v>
      </c>
      <c r="B16" s="7" t="s">
        <v>1</v>
      </c>
      <c r="C16" s="7"/>
      <c r="D16" s="7"/>
      <c r="E16" s="7"/>
    </row>
    <row r="17" spans="1:11" x14ac:dyDescent="0.3">
      <c r="A17" t="s">
        <v>2</v>
      </c>
      <c r="B17">
        <v>23</v>
      </c>
      <c r="C17">
        <v>10</v>
      </c>
      <c r="D17">
        <v>21</v>
      </c>
      <c r="E17">
        <v>15</v>
      </c>
      <c r="F17">
        <v>8</v>
      </c>
      <c r="G17">
        <v>4</v>
      </c>
      <c r="H17">
        <v>4.5</v>
      </c>
      <c r="I17">
        <v>4</v>
      </c>
      <c r="J17">
        <v>2.5</v>
      </c>
      <c r="K17">
        <f>B17+C17+D17+E17+F17+G17+H17+I17+J17</f>
        <v>92</v>
      </c>
    </row>
    <row r="18" spans="1:11" x14ac:dyDescent="0.3">
      <c r="A18" t="s">
        <v>3</v>
      </c>
    </row>
    <row r="19" spans="1:11" x14ac:dyDescent="0.3">
      <c r="A19" t="s">
        <v>4</v>
      </c>
    </row>
    <row r="21" spans="1:11" x14ac:dyDescent="0.3">
      <c r="A21" t="s">
        <v>13</v>
      </c>
      <c r="B21">
        <f>(K17/4830)*100</f>
        <v>1.9047619047619049</v>
      </c>
      <c r="G21" s="6" t="s">
        <v>28</v>
      </c>
      <c r="H21" s="6">
        <v>16</v>
      </c>
    </row>
    <row r="30" spans="1:11" x14ac:dyDescent="0.3">
      <c r="A30" s="7" t="s">
        <v>9</v>
      </c>
      <c r="B30" s="7"/>
      <c r="C30" s="7"/>
      <c r="D30" s="7"/>
      <c r="E30" s="7"/>
    </row>
    <row r="31" spans="1:11" x14ac:dyDescent="0.3">
      <c r="A31" t="s">
        <v>0</v>
      </c>
      <c r="B31" s="7" t="s">
        <v>1</v>
      </c>
      <c r="C31" s="7"/>
      <c r="D31" s="7"/>
      <c r="E31" s="7"/>
    </row>
    <row r="32" spans="1:11" x14ac:dyDescent="0.3">
      <c r="A32" t="s">
        <v>2</v>
      </c>
      <c r="B32">
        <v>169</v>
      </c>
      <c r="C32">
        <v>87</v>
      </c>
      <c r="D32">
        <v>174</v>
      </c>
      <c r="E32">
        <v>330</v>
      </c>
      <c r="F32">
        <v>59.4</v>
      </c>
      <c r="G32">
        <v>79.92</v>
      </c>
      <c r="H32">
        <f>B32+C32+D32+E32+F32+G32</f>
        <v>899.31999999999994</v>
      </c>
    </row>
    <row r="33" spans="1:8" x14ac:dyDescent="0.3">
      <c r="A33" t="s">
        <v>3</v>
      </c>
    </row>
    <row r="34" spans="1:8" x14ac:dyDescent="0.3">
      <c r="A34" t="s">
        <v>4</v>
      </c>
    </row>
    <row r="36" spans="1:8" x14ac:dyDescent="0.3">
      <c r="A36" t="s">
        <v>13</v>
      </c>
      <c r="B36">
        <f>(H32/4830)*100</f>
        <v>18.619461697722567</v>
      </c>
      <c r="G36" s="6" t="s">
        <v>28</v>
      </c>
      <c r="H36" s="6">
        <v>11.5</v>
      </c>
    </row>
    <row r="42" spans="1:8" x14ac:dyDescent="0.3">
      <c r="A42" s="7" t="s">
        <v>12</v>
      </c>
      <c r="B42" s="7"/>
      <c r="C42" s="7"/>
      <c r="D42" s="7"/>
      <c r="E42" s="7"/>
    </row>
    <row r="43" spans="1:8" x14ac:dyDescent="0.3">
      <c r="A43" t="s">
        <v>0</v>
      </c>
      <c r="B43" s="7" t="s">
        <v>1</v>
      </c>
      <c r="C43" s="7"/>
      <c r="D43" s="7"/>
      <c r="E43" s="7"/>
    </row>
    <row r="44" spans="1:8" x14ac:dyDescent="0.3">
      <c r="A44" t="s">
        <v>2</v>
      </c>
      <c r="B44">
        <v>510</v>
      </c>
    </row>
    <row r="45" spans="1:8" x14ac:dyDescent="0.3">
      <c r="A45" t="s">
        <v>3</v>
      </c>
    </row>
    <row r="46" spans="1:8" x14ac:dyDescent="0.3">
      <c r="A46" t="s">
        <v>4</v>
      </c>
    </row>
    <row r="48" spans="1:8" x14ac:dyDescent="0.3">
      <c r="A48" t="s">
        <v>13</v>
      </c>
      <c r="B48">
        <f>(B44/4830)*100</f>
        <v>10.559006211180124</v>
      </c>
      <c r="G48" s="6" t="s">
        <v>28</v>
      </c>
      <c r="H48" s="6">
        <v>17</v>
      </c>
    </row>
  </sheetData>
  <mergeCells count="8">
    <mergeCell ref="B43:E43"/>
    <mergeCell ref="A30:E30"/>
    <mergeCell ref="B31:E31"/>
    <mergeCell ref="A5:E5"/>
    <mergeCell ref="B6:E6"/>
    <mergeCell ref="A15:E15"/>
    <mergeCell ref="B16:E16"/>
    <mergeCell ref="A42:E4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L51"/>
  <sheetViews>
    <sheetView workbookViewId="0">
      <selection activeCell="F51" sqref="F51:G51"/>
    </sheetView>
  </sheetViews>
  <sheetFormatPr defaultRowHeight="14.4" x14ac:dyDescent="0.3"/>
  <cols>
    <col min="1" max="1" width="11.5546875" customWidth="1"/>
  </cols>
  <sheetData>
    <row r="7" spans="1:12" x14ac:dyDescent="0.3">
      <c r="A7" s="7" t="s">
        <v>5</v>
      </c>
      <c r="B7" s="7"/>
      <c r="C7" s="7"/>
      <c r="D7" s="7"/>
      <c r="E7" s="7"/>
    </row>
    <row r="8" spans="1:12" x14ac:dyDescent="0.3">
      <c r="A8" t="s">
        <v>0</v>
      </c>
      <c r="B8" s="7" t="s">
        <v>1</v>
      </c>
      <c r="C8" s="7"/>
      <c r="D8" s="7"/>
      <c r="E8" s="7"/>
    </row>
    <row r="9" spans="1:12" x14ac:dyDescent="0.3">
      <c r="A9" t="s">
        <v>2</v>
      </c>
      <c r="B9">
        <v>25</v>
      </c>
      <c r="C9">
        <v>5</v>
      </c>
      <c r="D9">
        <v>13</v>
      </c>
      <c r="E9">
        <v>43</v>
      </c>
      <c r="F9">
        <v>13</v>
      </c>
      <c r="G9">
        <v>15</v>
      </c>
      <c r="H9">
        <v>5</v>
      </c>
      <c r="I9">
        <v>5.3</v>
      </c>
      <c r="J9">
        <v>10</v>
      </c>
      <c r="K9">
        <f>B9+C9+D9+E9+F9+G9+H9+I9+J9</f>
        <v>134.30000000000001</v>
      </c>
    </row>
    <row r="10" spans="1:12" x14ac:dyDescent="0.3">
      <c r="A10" t="s">
        <v>3</v>
      </c>
      <c r="B10">
        <v>10</v>
      </c>
      <c r="C10">
        <v>8</v>
      </c>
      <c r="D10">
        <v>22</v>
      </c>
      <c r="E10">
        <v>5.3</v>
      </c>
      <c r="F10">
        <v>35.200000000000003</v>
      </c>
      <c r="G10">
        <v>10.5</v>
      </c>
      <c r="H10">
        <v>23.5</v>
      </c>
      <c r="I10">
        <v>13</v>
      </c>
      <c r="J10">
        <f>B10+C10+D10+E10+F10+G10+H10+I10</f>
        <v>127.5</v>
      </c>
    </row>
    <row r="11" spans="1:12" x14ac:dyDescent="0.3">
      <c r="A11" t="s">
        <v>4</v>
      </c>
    </row>
    <row r="13" spans="1:12" x14ac:dyDescent="0.3">
      <c r="A13" t="s">
        <v>13</v>
      </c>
      <c r="B13">
        <f>(K9/23240)*100</f>
        <v>0.57788296041308096</v>
      </c>
      <c r="F13" s="6" t="s">
        <v>28</v>
      </c>
      <c r="G13" s="6">
        <v>1</v>
      </c>
      <c r="K13" s="5" t="s">
        <v>26</v>
      </c>
      <c r="L13" s="5">
        <f>G14+G23+G38</f>
        <v>73</v>
      </c>
    </row>
    <row r="14" spans="1:12" x14ac:dyDescent="0.3">
      <c r="A14" t="s">
        <v>14</v>
      </c>
      <c r="B14">
        <f>(J10/2324)*100</f>
        <v>5.4862306368330467</v>
      </c>
      <c r="F14" s="6" t="s">
        <v>28</v>
      </c>
      <c r="G14" s="6">
        <v>26</v>
      </c>
      <c r="K14" s="5" t="s">
        <v>25</v>
      </c>
      <c r="L14" s="5">
        <v>46</v>
      </c>
    </row>
    <row r="15" spans="1:12" x14ac:dyDescent="0.3">
      <c r="K15" s="5" t="s">
        <v>27</v>
      </c>
      <c r="L15" s="5">
        <f>100-L14</f>
        <v>54</v>
      </c>
    </row>
    <row r="17" spans="1:9" x14ac:dyDescent="0.3">
      <c r="A17" s="7" t="s">
        <v>6</v>
      </c>
      <c r="B17" s="7"/>
      <c r="C17" s="7"/>
      <c r="D17" s="7"/>
      <c r="E17" s="7"/>
    </row>
    <row r="18" spans="1:9" x14ac:dyDescent="0.3">
      <c r="A18" t="s">
        <v>0</v>
      </c>
      <c r="B18" s="7" t="s">
        <v>1</v>
      </c>
      <c r="C18" s="7"/>
      <c r="D18" s="7"/>
      <c r="E18" s="7"/>
    </row>
    <row r="19" spans="1:9" x14ac:dyDescent="0.3">
      <c r="A19" t="s">
        <v>2</v>
      </c>
      <c r="B19">
        <v>15</v>
      </c>
      <c r="C19">
        <v>12.9</v>
      </c>
      <c r="D19">
        <v>11.84</v>
      </c>
      <c r="E19">
        <v>128</v>
      </c>
      <c r="F19">
        <v>3</v>
      </c>
      <c r="G19">
        <v>15</v>
      </c>
      <c r="H19">
        <v>32</v>
      </c>
      <c r="I19">
        <f>B19+C19+D19+E19+F19+G19+H19</f>
        <v>217.74</v>
      </c>
    </row>
    <row r="20" spans="1:9" x14ac:dyDescent="0.3">
      <c r="A20" t="s">
        <v>3</v>
      </c>
    </row>
    <row r="21" spans="1:9" x14ac:dyDescent="0.3">
      <c r="A21" t="s">
        <v>4</v>
      </c>
    </row>
    <row r="23" spans="1:9" x14ac:dyDescent="0.3">
      <c r="A23" t="s">
        <v>13</v>
      </c>
      <c r="B23">
        <f>(I19/2324)*100</f>
        <v>9.3691910499139421</v>
      </c>
      <c r="F23" s="6" t="s">
        <v>28</v>
      </c>
      <c r="G23" s="6">
        <v>33</v>
      </c>
    </row>
    <row r="32" spans="1:9" x14ac:dyDescent="0.3">
      <c r="A32" s="7" t="s">
        <v>9</v>
      </c>
      <c r="B32" s="7"/>
      <c r="C32" s="7"/>
      <c r="D32" s="7"/>
      <c r="E32" s="7"/>
    </row>
    <row r="33" spans="1:7" x14ac:dyDescent="0.3">
      <c r="A33" t="s">
        <v>0</v>
      </c>
      <c r="B33" s="7" t="s">
        <v>1</v>
      </c>
      <c r="C33" s="7"/>
      <c r="D33" s="7"/>
      <c r="E33" s="7"/>
    </row>
    <row r="34" spans="1:7" x14ac:dyDescent="0.3">
      <c r="A34" t="s">
        <v>2</v>
      </c>
      <c r="B34">
        <v>37</v>
      </c>
      <c r="C34">
        <v>60</v>
      </c>
      <c r="D34">
        <v>423.36</v>
      </c>
      <c r="E34">
        <f>B34+C34+D34</f>
        <v>520.36</v>
      </c>
    </row>
    <row r="35" spans="1:7" x14ac:dyDescent="0.3">
      <c r="A35" t="s">
        <v>3</v>
      </c>
    </row>
    <row r="36" spans="1:7" x14ac:dyDescent="0.3">
      <c r="A36" t="s">
        <v>4</v>
      </c>
    </row>
    <row r="38" spans="1:7" x14ac:dyDescent="0.3">
      <c r="A38" t="s">
        <v>13</v>
      </c>
      <c r="B38">
        <f>(E34/2324)*100</f>
        <v>22.390705679862307</v>
      </c>
      <c r="F38" s="6" t="s">
        <v>28</v>
      </c>
      <c r="G38" s="6">
        <v>14</v>
      </c>
    </row>
    <row r="45" spans="1:7" x14ac:dyDescent="0.3">
      <c r="A45" s="7" t="s">
        <v>12</v>
      </c>
      <c r="B45" s="7"/>
      <c r="C45" s="7"/>
      <c r="D45" s="7"/>
      <c r="E45" s="7"/>
    </row>
    <row r="46" spans="1:7" x14ac:dyDescent="0.3">
      <c r="A46" t="s">
        <v>0</v>
      </c>
      <c r="B46" s="7" t="s">
        <v>1</v>
      </c>
      <c r="C46" s="7"/>
      <c r="D46" s="7"/>
      <c r="E46" s="7"/>
    </row>
    <row r="47" spans="1:7" x14ac:dyDescent="0.3">
      <c r="A47" t="s">
        <v>2</v>
      </c>
      <c r="B47">
        <v>6</v>
      </c>
    </row>
    <row r="48" spans="1:7" x14ac:dyDescent="0.3">
      <c r="A48" t="s">
        <v>3</v>
      </c>
    </row>
    <row r="49" spans="1:7" x14ac:dyDescent="0.3">
      <c r="A49" t="s">
        <v>4</v>
      </c>
    </row>
    <row r="51" spans="1:7" x14ac:dyDescent="0.3">
      <c r="A51" t="s">
        <v>13</v>
      </c>
      <c r="B51">
        <f>(B47/2324)*100</f>
        <v>0.25817555938037867</v>
      </c>
      <c r="F51" s="6" t="s">
        <v>28</v>
      </c>
      <c r="G51" s="6">
        <v>0.01</v>
      </c>
    </row>
  </sheetData>
  <mergeCells count="8">
    <mergeCell ref="B46:E46"/>
    <mergeCell ref="A32:E32"/>
    <mergeCell ref="B33:E33"/>
    <mergeCell ref="A7:E7"/>
    <mergeCell ref="B8:E8"/>
    <mergeCell ref="A17:E17"/>
    <mergeCell ref="B18:E18"/>
    <mergeCell ref="A45:E4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J49"/>
  <sheetViews>
    <sheetView topLeftCell="A25" workbookViewId="0">
      <selection activeCell="E49" sqref="E49:F49"/>
    </sheetView>
  </sheetViews>
  <sheetFormatPr defaultRowHeight="14.4" x14ac:dyDescent="0.3"/>
  <cols>
    <col min="1" max="1" width="14" customWidth="1"/>
  </cols>
  <sheetData>
    <row r="4" spans="1:10" x14ac:dyDescent="0.3">
      <c r="A4" s="7" t="s">
        <v>5</v>
      </c>
      <c r="B4" s="7"/>
      <c r="C4" s="7"/>
      <c r="D4" s="7"/>
      <c r="E4" s="7"/>
    </row>
    <row r="5" spans="1:10" x14ac:dyDescent="0.3">
      <c r="A5" t="s">
        <v>0</v>
      </c>
      <c r="B5" s="7" t="s">
        <v>1</v>
      </c>
      <c r="C5" s="7"/>
      <c r="D5" s="7"/>
      <c r="E5" s="7"/>
    </row>
    <row r="6" spans="1:10" x14ac:dyDescent="0.3">
      <c r="A6" t="s">
        <v>2</v>
      </c>
      <c r="B6">
        <v>15.5</v>
      </c>
      <c r="C6">
        <v>10</v>
      </c>
      <c r="D6">
        <v>9</v>
      </c>
      <c r="E6">
        <v>9</v>
      </c>
      <c r="F6">
        <v>14.4</v>
      </c>
      <c r="G6">
        <v>12</v>
      </c>
      <c r="H6">
        <f>B6+C6+D6+E6+F6+G6</f>
        <v>69.900000000000006</v>
      </c>
    </row>
    <row r="7" spans="1:10" x14ac:dyDescent="0.3">
      <c r="A7" t="s">
        <v>3</v>
      </c>
      <c r="B7">
        <v>12</v>
      </c>
      <c r="C7">
        <v>15</v>
      </c>
      <c r="D7">
        <v>16.8</v>
      </c>
      <c r="E7">
        <f>B7+C7+D7</f>
        <v>43.8</v>
      </c>
    </row>
    <row r="8" spans="1:10" x14ac:dyDescent="0.3">
      <c r="A8" t="s">
        <v>4</v>
      </c>
    </row>
    <row r="10" spans="1:10" x14ac:dyDescent="0.3">
      <c r="A10" t="s">
        <v>13</v>
      </c>
      <c r="B10">
        <f>(H6/2730)*100</f>
        <v>2.5604395604395607</v>
      </c>
      <c r="E10" s="6" t="s">
        <v>28</v>
      </c>
      <c r="F10" s="6">
        <v>7</v>
      </c>
      <c r="I10" s="5" t="s">
        <v>26</v>
      </c>
      <c r="J10" s="5">
        <f>F10+F11+F20+F21+F33+F49</f>
        <v>148</v>
      </c>
    </row>
    <row r="11" spans="1:10" x14ac:dyDescent="0.3">
      <c r="A11" t="s">
        <v>14</v>
      </c>
      <c r="B11">
        <f>(E7/2730)*100</f>
        <v>1.6043956043956042</v>
      </c>
      <c r="E11" s="6" t="s">
        <v>28</v>
      </c>
      <c r="F11" s="6">
        <v>12</v>
      </c>
      <c r="I11" s="5" t="s">
        <v>25</v>
      </c>
      <c r="J11" s="5">
        <v>70</v>
      </c>
    </row>
    <row r="12" spans="1:10" x14ac:dyDescent="0.3">
      <c r="I12" s="5" t="s">
        <v>27</v>
      </c>
      <c r="J12" s="5">
        <f>100-J11</f>
        <v>30</v>
      </c>
    </row>
    <row r="14" spans="1:10" x14ac:dyDescent="0.3">
      <c r="A14" s="7" t="s">
        <v>6</v>
      </c>
      <c r="B14" s="7"/>
      <c r="C14" s="7"/>
      <c r="D14" s="7"/>
      <c r="E14" s="7"/>
    </row>
    <row r="15" spans="1:10" x14ac:dyDescent="0.3">
      <c r="A15" t="s">
        <v>0</v>
      </c>
      <c r="B15" s="7" t="s">
        <v>1</v>
      </c>
      <c r="C15" s="7"/>
      <c r="D15" s="7"/>
      <c r="E15" s="7"/>
    </row>
    <row r="16" spans="1:10" x14ac:dyDescent="0.3">
      <c r="A16" t="s">
        <v>2</v>
      </c>
      <c r="B16">
        <v>32</v>
      </c>
      <c r="C16">
        <v>41.31</v>
      </c>
      <c r="D16">
        <v>66</v>
      </c>
      <c r="E16">
        <v>14</v>
      </c>
      <c r="F16">
        <v>6.5</v>
      </c>
      <c r="G16">
        <v>28.8</v>
      </c>
      <c r="H16">
        <v>7</v>
      </c>
      <c r="I16">
        <f>B16+C16+D16+E16+F16+G16+H16</f>
        <v>195.61</v>
      </c>
    </row>
    <row r="17" spans="1:6" x14ac:dyDescent="0.3">
      <c r="A17" t="s">
        <v>3</v>
      </c>
      <c r="B17">
        <v>10</v>
      </c>
      <c r="C17">
        <v>15</v>
      </c>
      <c r="D17">
        <v>14</v>
      </c>
      <c r="E17">
        <f>B17+C17+D17</f>
        <v>39</v>
      </c>
    </row>
    <row r="18" spans="1:6" x14ac:dyDescent="0.3">
      <c r="A18" t="s">
        <v>4</v>
      </c>
    </row>
    <row r="20" spans="1:6" x14ac:dyDescent="0.3">
      <c r="A20" t="s">
        <v>13</v>
      </c>
      <c r="B20">
        <f>(I16/27300)*100</f>
        <v>0.71652014652014651</v>
      </c>
      <c r="E20" s="6" t="s">
        <v>28</v>
      </c>
      <c r="F20" s="6">
        <v>8.5</v>
      </c>
    </row>
    <row r="21" spans="1:6" x14ac:dyDescent="0.3">
      <c r="A21" t="s">
        <v>14</v>
      </c>
      <c r="B21">
        <f>(E17/2730)*100</f>
        <v>1.4285714285714286</v>
      </c>
      <c r="E21" s="6" t="s">
        <v>28</v>
      </c>
      <c r="F21" s="6">
        <v>24.5</v>
      </c>
    </row>
    <row r="27" spans="1:6" x14ac:dyDescent="0.3">
      <c r="A27" s="7" t="s">
        <v>9</v>
      </c>
      <c r="B27" s="7"/>
      <c r="C27" s="7"/>
      <c r="D27" s="7"/>
      <c r="E27" s="7"/>
    </row>
    <row r="28" spans="1:6" x14ac:dyDescent="0.3">
      <c r="A28" t="s">
        <v>0</v>
      </c>
      <c r="B28" s="7" t="s">
        <v>1</v>
      </c>
      <c r="C28" s="7"/>
      <c r="D28" s="7"/>
      <c r="E28" s="7"/>
    </row>
    <row r="29" spans="1:6" x14ac:dyDescent="0.3">
      <c r="A29" t="s">
        <v>2</v>
      </c>
      <c r="B29">
        <v>265</v>
      </c>
      <c r="C29">
        <v>140</v>
      </c>
      <c r="D29">
        <v>144</v>
      </c>
      <c r="E29">
        <f>B29+C29+D29</f>
        <v>549</v>
      </c>
    </row>
    <row r="30" spans="1:6" x14ac:dyDescent="0.3">
      <c r="A30" t="s">
        <v>3</v>
      </c>
      <c r="B30">
        <v>10</v>
      </c>
    </row>
    <row r="31" spans="1:6" x14ac:dyDescent="0.3">
      <c r="A31" t="s">
        <v>4</v>
      </c>
    </row>
    <row r="33" spans="1:6" x14ac:dyDescent="0.3">
      <c r="A33" t="s">
        <v>13</v>
      </c>
      <c r="B33">
        <f>(E29/2730)*100</f>
        <v>20.109890109890109</v>
      </c>
      <c r="E33" s="6" t="s">
        <v>28</v>
      </c>
      <c r="F33" s="6">
        <v>13</v>
      </c>
    </row>
    <row r="34" spans="1:6" x14ac:dyDescent="0.3">
      <c r="A34" t="s">
        <v>14</v>
      </c>
      <c r="B34">
        <f>(B30/2730)*100</f>
        <v>0.36630036630036628</v>
      </c>
      <c r="E34" s="6" t="s">
        <v>28</v>
      </c>
      <c r="F34" s="6">
        <v>0.01</v>
      </c>
    </row>
    <row r="42" spans="1:6" x14ac:dyDescent="0.3">
      <c r="A42" s="10" t="s">
        <v>11</v>
      </c>
      <c r="B42" s="10"/>
      <c r="C42" s="10"/>
      <c r="D42" s="10"/>
      <c r="E42" s="10"/>
    </row>
    <row r="43" spans="1:6" x14ac:dyDescent="0.3">
      <c r="A43" s="1" t="s">
        <v>0</v>
      </c>
      <c r="B43" s="10" t="s">
        <v>1</v>
      </c>
      <c r="C43" s="10"/>
      <c r="D43" s="10"/>
      <c r="E43" s="10"/>
    </row>
    <row r="44" spans="1:6" x14ac:dyDescent="0.3">
      <c r="A44" s="1" t="s">
        <v>2</v>
      </c>
      <c r="B44" s="1"/>
      <c r="C44" s="1"/>
      <c r="D44" s="1"/>
      <c r="E44" s="1"/>
    </row>
    <row r="45" spans="1:6" x14ac:dyDescent="0.3">
      <c r="A45" s="1" t="s">
        <v>3</v>
      </c>
      <c r="B45" s="1"/>
      <c r="C45" s="1"/>
      <c r="D45" s="1"/>
      <c r="E45" s="1"/>
    </row>
    <row r="46" spans="1:6" x14ac:dyDescent="0.3">
      <c r="A46" s="1" t="s">
        <v>4</v>
      </c>
      <c r="B46" s="1">
        <v>18.09</v>
      </c>
      <c r="C46" s="1">
        <v>2.25</v>
      </c>
      <c r="D46" s="1">
        <f>B46+C46</f>
        <v>20.34</v>
      </c>
      <c r="E46" s="1"/>
    </row>
    <row r="49" spans="1:6" x14ac:dyDescent="0.3">
      <c r="A49" t="s">
        <v>14</v>
      </c>
      <c r="B49">
        <f>(D46/2730)*100</f>
        <v>0.74505494505494496</v>
      </c>
      <c r="E49" s="6" t="s">
        <v>28</v>
      </c>
      <c r="F49" s="6">
        <v>83</v>
      </c>
    </row>
  </sheetData>
  <mergeCells count="8">
    <mergeCell ref="B43:E43"/>
    <mergeCell ref="A27:E27"/>
    <mergeCell ref="B28:E28"/>
    <mergeCell ref="A4:E4"/>
    <mergeCell ref="B5:E5"/>
    <mergeCell ref="A14:E14"/>
    <mergeCell ref="B15:E15"/>
    <mergeCell ref="A42:E4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I64"/>
  <sheetViews>
    <sheetView topLeftCell="A22" workbookViewId="0">
      <selection activeCell="E34" sqref="E34:F35"/>
    </sheetView>
  </sheetViews>
  <sheetFormatPr defaultRowHeight="14.4" x14ac:dyDescent="0.3"/>
  <cols>
    <col min="1" max="1" width="13" customWidth="1"/>
  </cols>
  <sheetData>
    <row r="6" spans="1:9" x14ac:dyDescent="0.3">
      <c r="A6" s="7" t="s">
        <v>5</v>
      </c>
      <c r="B6" s="7"/>
      <c r="C6" s="7"/>
      <c r="D6" s="7"/>
      <c r="E6" s="7"/>
    </row>
    <row r="7" spans="1:9" x14ac:dyDescent="0.3">
      <c r="A7" t="s">
        <v>0</v>
      </c>
      <c r="B7" s="7" t="s">
        <v>1</v>
      </c>
      <c r="C7" s="7"/>
      <c r="D7" s="7"/>
      <c r="E7" s="7"/>
    </row>
    <row r="8" spans="1:9" x14ac:dyDescent="0.3">
      <c r="A8" t="s">
        <v>2</v>
      </c>
      <c r="B8">
        <v>20</v>
      </c>
      <c r="C8">
        <v>8</v>
      </c>
      <c r="D8">
        <v>7.5</v>
      </c>
      <c r="E8">
        <v>13.4</v>
      </c>
      <c r="F8">
        <f>B8+C8+D8+E8</f>
        <v>48.9</v>
      </c>
    </row>
    <row r="9" spans="1:9" x14ac:dyDescent="0.3">
      <c r="A9" t="s">
        <v>3</v>
      </c>
    </row>
    <row r="10" spans="1:9" x14ac:dyDescent="0.3">
      <c r="A10" t="s">
        <v>4</v>
      </c>
    </row>
    <row r="12" spans="1:9" x14ac:dyDescent="0.3">
      <c r="A12" t="s">
        <v>13</v>
      </c>
      <c r="B12">
        <f>(F8/1444)*100</f>
        <v>3.3864265927977839</v>
      </c>
      <c r="E12" s="6" t="s">
        <v>28</v>
      </c>
      <c r="F12" s="6">
        <v>8.5</v>
      </c>
      <c r="H12" s="5" t="s">
        <v>26</v>
      </c>
      <c r="I12" s="5">
        <f>F12+F22+F23+F35</f>
        <v>105.5</v>
      </c>
    </row>
    <row r="13" spans="1:9" x14ac:dyDescent="0.3">
      <c r="H13" s="5" t="s">
        <v>25</v>
      </c>
      <c r="I13" s="5">
        <v>60</v>
      </c>
    </row>
    <row r="14" spans="1:9" x14ac:dyDescent="0.3">
      <c r="H14" s="5" t="s">
        <v>27</v>
      </c>
      <c r="I14" s="5">
        <f>100-I13</f>
        <v>40</v>
      </c>
    </row>
    <row r="16" spans="1:9" x14ac:dyDescent="0.3">
      <c r="A16" s="7" t="s">
        <v>6</v>
      </c>
      <c r="B16" s="7"/>
      <c r="C16" s="7"/>
      <c r="D16" s="7"/>
      <c r="E16" s="7"/>
    </row>
    <row r="17" spans="1:6" x14ac:dyDescent="0.3">
      <c r="A17" t="s">
        <v>0</v>
      </c>
      <c r="B17" s="7" t="s">
        <v>1</v>
      </c>
      <c r="C17" s="7"/>
      <c r="D17" s="7"/>
      <c r="E17" s="7"/>
    </row>
    <row r="18" spans="1:6" x14ac:dyDescent="0.3">
      <c r="A18" t="s">
        <v>2</v>
      </c>
      <c r="B18">
        <v>26.4</v>
      </c>
      <c r="C18">
        <v>27.54</v>
      </c>
      <c r="D18">
        <v>140</v>
      </c>
      <c r="E18">
        <v>20</v>
      </c>
      <c r="F18">
        <f>B18+C18+D18+E18</f>
        <v>213.94</v>
      </c>
    </row>
    <row r="19" spans="1:6" x14ac:dyDescent="0.3">
      <c r="A19" t="s">
        <v>3</v>
      </c>
      <c r="B19">
        <v>159.96</v>
      </c>
      <c r="C19">
        <v>108.85</v>
      </c>
      <c r="D19">
        <f>B19+C19</f>
        <v>268.81</v>
      </c>
    </row>
    <row r="20" spans="1:6" x14ac:dyDescent="0.3">
      <c r="A20" t="s">
        <v>4</v>
      </c>
    </row>
    <row r="22" spans="1:6" x14ac:dyDescent="0.3">
      <c r="A22" t="s">
        <v>13</v>
      </c>
      <c r="B22">
        <f>(F18/1444)*100</f>
        <v>14.815789473684211</v>
      </c>
      <c r="E22" s="6" t="s">
        <v>28</v>
      </c>
      <c r="F22" s="6">
        <v>27</v>
      </c>
    </row>
    <row r="23" spans="1:6" x14ac:dyDescent="0.3">
      <c r="A23" t="s">
        <v>14</v>
      </c>
      <c r="B23">
        <f>(D19/1444)*100</f>
        <v>18.615650969529085</v>
      </c>
      <c r="E23" s="6" t="s">
        <v>28</v>
      </c>
      <c r="F23" s="6">
        <v>54</v>
      </c>
    </row>
    <row r="28" spans="1:6" x14ac:dyDescent="0.3">
      <c r="A28" s="7" t="s">
        <v>9</v>
      </c>
      <c r="B28" s="7"/>
      <c r="C28" s="7"/>
      <c r="D28" s="7"/>
      <c r="E28" s="7"/>
    </row>
    <row r="29" spans="1:6" x14ac:dyDescent="0.3">
      <c r="A29" t="s">
        <v>0</v>
      </c>
      <c r="B29" s="7" t="s">
        <v>1</v>
      </c>
      <c r="C29" s="7"/>
      <c r="D29" s="7"/>
      <c r="E29" s="7"/>
    </row>
    <row r="30" spans="1:6" x14ac:dyDescent="0.3">
      <c r="A30" t="s">
        <v>2</v>
      </c>
      <c r="B30">
        <v>85.32</v>
      </c>
      <c r="C30">
        <v>72</v>
      </c>
      <c r="D30">
        <v>54.72</v>
      </c>
      <c r="E30">
        <f>B30+C30+D30</f>
        <v>212.04</v>
      </c>
    </row>
    <row r="31" spans="1:6" x14ac:dyDescent="0.3">
      <c r="A31" t="s">
        <v>3</v>
      </c>
      <c r="B31">
        <v>129</v>
      </c>
    </row>
    <row r="32" spans="1:6" x14ac:dyDescent="0.3">
      <c r="A32" t="s">
        <v>4</v>
      </c>
    </row>
    <row r="34" spans="1:6" x14ac:dyDescent="0.3">
      <c r="A34" t="s">
        <v>13</v>
      </c>
      <c r="B34">
        <f>(E30/14440)*100</f>
        <v>1.4684210526315788</v>
      </c>
      <c r="E34" s="6" t="s">
        <v>28</v>
      </c>
      <c r="F34" s="6">
        <v>1</v>
      </c>
    </row>
    <row r="35" spans="1:6" x14ac:dyDescent="0.3">
      <c r="A35" t="s">
        <v>14</v>
      </c>
      <c r="B35">
        <f>(B31/1444)*100</f>
        <v>8.9335180055401651</v>
      </c>
      <c r="E35" s="6" t="s">
        <v>28</v>
      </c>
      <c r="F35" s="6">
        <v>16</v>
      </c>
    </row>
    <row r="38" spans="1:6" x14ac:dyDescent="0.3">
      <c r="A38" s="7"/>
      <c r="B38" s="7"/>
      <c r="C38" s="7"/>
      <c r="D38" s="7"/>
      <c r="E38" s="7"/>
    </row>
    <row r="39" spans="1:6" x14ac:dyDescent="0.3">
      <c r="B39" s="7"/>
      <c r="C39" s="7"/>
      <c r="D39" s="7"/>
      <c r="E39" s="7"/>
    </row>
    <row r="51" spans="1:5" x14ac:dyDescent="0.3">
      <c r="A51" s="7"/>
      <c r="B51" s="7"/>
      <c r="C51" s="7"/>
      <c r="D51" s="7"/>
      <c r="E51" s="7"/>
    </row>
    <row r="52" spans="1:5" x14ac:dyDescent="0.3">
      <c r="B52" s="7"/>
      <c r="C52" s="7"/>
      <c r="D52" s="7"/>
      <c r="E52" s="7"/>
    </row>
    <row r="63" spans="1:5" x14ac:dyDescent="0.3">
      <c r="A63" s="7"/>
      <c r="B63" s="7"/>
      <c r="C63" s="7"/>
      <c r="D63" s="7"/>
      <c r="E63" s="7"/>
    </row>
    <row r="64" spans="1:5" x14ac:dyDescent="0.3">
      <c r="B64" s="7"/>
      <c r="C64" s="7"/>
      <c r="D64" s="7"/>
      <c r="E64" s="7"/>
    </row>
  </sheetData>
  <mergeCells count="12">
    <mergeCell ref="B64:E64"/>
    <mergeCell ref="A6:E6"/>
    <mergeCell ref="B7:E7"/>
    <mergeCell ref="A16:E16"/>
    <mergeCell ref="B17:E17"/>
    <mergeCell ref="A28:E28"/>
    <mergeCell ref="B29:E29"/>
    <mergeCell ref="A38:E38"/>
    <mergeCell ref="B39:E39"/>
    <mergeCell ref="A51:E51"/>
    <mergeCell ref="B52:E52"/>
    <mergeCell ref="A63:E6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4:K79"/>
  <sheetViews>
    <sheetView workbookViewId="0">
      <selection activeCell="K22" sqref="K22"/>
    </sheetView>
  </sheetViews>
  <sheetFormatPr defaultRowHeight="14.4" x14ac:dyDescent="0.3"/>
  <cols>
    <col min="1" max="1" width="12.6640625" customWidth="1"/>
  </cols>
  <sheetData>
    <row r="4" spans="1:11" x14ac:dyDescent="0.3">
      <c r="A4" s="7" t="s">
        <v>5</v>
      </c>
      <c r="B4" s="7"/>
      <c r="C4" s="7"/>
      <c r="D4" s="7"/>
      <c r="E4" s="7"/>
    </row>
    <row r="5" spans="1:11" x14ac:dyDescent="0.3">
      <c r="A5" t="s">
        <v>0</v>
      </c>
      <c r="B5" s="7" t="s">
        <v>1</v>
      </c>
      <c r="C5" s="7"/>
      <c r="D5" s="7"/>
      <c r="E5" s="7"/>
    </row>
    <row r="6" spans="1:11" x14ac:dyDescent="0.3">
      <c r="A6" t="s">
        <v>2</v>
      </c>
    </row>
    <row r="7" spans="1:11" x14ac:dyDescent="0.3">
      <c r="A7" t="s">
        <v>3</v>
      </c>
      <c r="B7">
        <f>9.6+9.6+16+7.5</f>
        <v>42.7</v>
      </c>
      <c r="C7">
        <f>(46+7)/2</f>
        <v>26.5</v>
      </c>
    </row>
    <row r="8" spans="1:11" x14ac:dyDescent="0.3">
      <c r="A8" t="s">
        <v>4</v>
      </c>
      <c r="B8">
        <v>7.6</v>
      </c>
    </row>
    <row r="9" spans="1:11" x14ac:dyDescent="0.3">
      <c r="A9" t="s">
        <v>14</v>
      </c>
      <c r="B9">
        <f>(B7+C7)/3569*100</f>
        <v>1.9389184645558981</v>
      </c>
      <c r="F9" s="6" t="s">
        <v>28</v>
      </c>
      <c r="G9" s="6">
        <v>14</v>
      </c>
      <c r="J9" s="5" t="s">
        <v>26</v>
      </c>
      <c r="K9" s="5">
        <f>G9+G10+G20+G21+G36+G58+G59+G68+G79</f>
        <v>122.1</v>
      </c>
    </row>
    <row r="10" spans="1:11" x14ac:dyDescent="0.3">
      <c r="A10" t="s">
        <v>15</v>
      </c>
      <c r="B10">
        <f>((B8)/3569)*100</f>
        <v>0.21294480246567665</v>
      </c>
      <c r="F10" s="6" t="s">
        <v>28</v>
      </c>
      <c r="G10" s="6">
        <v>7.6</v>
      </c>
      <c r="J10" s="5" t="s">
        <v>25</v>
      </c>
      <c r="K10" s="5">
        <v>60</v>
      </c>
    </row>
    <row r="11" spans="1:11" x14ac:dyDescent="0.3">
      <c r="J11" s="5" t="s">
        <v>27</v>
      </c>
      <c r="K11" s="5">
        <f>100-K10</f>
        <v>40</v>
      </c>
    </row>
    <row r="12" spans="1:11" x14ac:dyDescent="0.3">
      <c r="H12" s="4"/>
    </row>
    <row r="14" spans="1:11" x14ac:dyDescent="0.3">
      <c r="A14" s="7" t="s">
        <v>6</v>
      </c>
      <c r="B14" s="7"/>
      <c r="C14" s="7"/>
      <c r="D14" s="7"/>
      <c r="E14" s="7"/>
    </row>
    <row r="15" spans="1:11" x14ac:dyDescent="0.3">
      <c r="A15" t="s">
        <v>0</v>
      </c>
      <c r="B15" s="7" t="s">
        <v>1</v>
      </c>
      <c r="C15" s="7"/>
      <c r="D15" s="7"/>
      <c r="E15" s="7"/>
    </row>
    <row r="16" spans="1:11" x14ac:dyDescent="0.3">
      <c r="A16" t="s">
        <v>2</v>
      </c>
      <c r="B16">
        <f>3*2.5+7+1+1.5*4.6+2.5*25+3+5+10</f>
        <v>102.9</v>
      </c>
      <c r="C16">
        <f>(15*4+1.5*10)/2</f>
        <v>37.5</v>
      </c>
    </row>
    <row r="17" spans="1:7" x14ac:dyDescent="0.3">
      <c r="A17" t="s">
        <v>3</v>
      </c>
      <c r="C17">
        <f>(20+8*2.5)/2</f>
        <v>20</v>
      </c>
    </row>
    <row r="18" spans="1:7" x14ac:dyDescent="0.3">
      <c r="A18" t="s">
        <v>4</v>
      </c>
    </row>
    <row r="20" spans="1:7" x14ac:dyDescent="0.3">
      <c r="A20" t="s">
        <v>13</v>
      </c>
      <c r="B20">
        <f>((B16+C16)/3569)*100</f>
        <v>3.9338750350238163</v>
      </c>
      <c r="F20" s="6" t="s">
        <v>28</v>
      </c>
      <c r="G20" s="6">
        <v>24</v>
      </c>
    </row>
    <row r="21" spans="1:7" x14ac:dyDescent="0.3">
      <c r="A21" t="s">
        <v>14</v>
      </c>
      <c r="B21">
        <f>(C17/3569)*100</f>
        <v>0.56038105912020175</v>
      </c>
      <c r="F21" s="6" t="s">
        <v>28</v>
      </c>
      <c r="G21" s="6">
        <v>17</v>
      </c>
    </row>
    <row r="30" spans="1:7" x14ac:dyDescent="0.3">
      <c r="A30" s="7" t="s">
        <v>9</v>
      </c>
      <c r="B30" s="7"/>
      <c r="C30" s="7"/>
      <c r="D30" s="7"/>
      <c r="E30" s="7"/>
    </row>
    <row r="31" spans="1:7" x14ac:dyDescent="0.3">
      <c r="A31" t="s">
        <v>0</v>
      </c>
      <c r="B31" s="7" t="s">
        <v>1</v>
      </c>
      <c r="C31" s="7"/>
      <c r="D31" s="7"/>
      <c r="E31" s="7"/>
    </row>
    <row r="32" spans="1:7" x14ac:dyDescent="0.3">
      <c r="A32" t="s">
        <v>2</v>
      </c>
      <c r="B32">
        <f>13*7.8</f>
        <v>101.39999999999999</v>
      </c>
    </row>
    <row r="33" spans="1:7" x14ac:dyDescent="0.3">
      <c r="A33" t="s">
        <v>3</v>
      </c>
    </row>
    <row r="34" spans="1:7" x14ac:dyDescent="0.3">
      <c r="A34" t="s">
        <v>4</v>
      </c>
    </row>
    <row r="36" spans="1:7" x14ac:dyDescent="0.3">
      <c r="A36" t="s">
        <v>13</v>
      </c>
      <c r="B36">
        <f>B32/3569*100</f>
        <v>2.8411319697394228</v>
      </c>
      <c r="F36" s="6" t="s">
        <v>28</v>
      </c>
      <c r="G36" s="6">
        <v>3</v>
      </c>
    </row>
    <row r="42" spans="1:7" x14ac:dyDescent="0.3">
      <c r="A42" s="7" t="s">
        <v>10</v>
      </c>
      <c r="B42" s="7"/>
      <c r="C42" s="7"/>
      <c r="D42" s="7"/>
      <c r="E42" s="7"/>
    </row>
    <row r="43" spans="1:7" x14ac:dyDescent="0.3">
      <c r="A43" t="s">
        <v>0</v>
      </c>
      <c r="B43" s="7" t="s">
        <v>1</v>
      </c>
      <c r="C43" s="7"/>
      <c r="D43" s="7"/>
      <c r="E43" s="7"/>
    </row>
    <row r="44" spans="1:7" x14ac:dyDescent="0.3">
      <c r="A44" t="s">
        <v>2</v>
      </c>
      <c r="B44">
        <v>1.5</v>
      </c>
    </row>
    <row r="45" spans="1:7" x14ac:dyDescent="0.3">
      <c r="A45" t="s">
        <v>3</v>
      </c>
    </row>
    <row r="46" spans="1:7" x14ac:dyDescent="0.3">
      <c r="A46" t="s">
        <v>4</v>
      </c>
    </row>
    <row r="48" spans="1:7" x14ac:dyDescent="0.3">
      <c r="A48" t="s">
        <v>13</v>
      </c>
      <c r="B48">
        <f>B44/3569*100</f>
        <v>4.2028579434015126E-2</v>
      </c>
      <c r="F48" s="6" t="s">
        <v>28</v>
      </c>
      <c r="G48" s="6">
        <v>0</v>
      </c>
    </row>
    <row r="52" spans="1:7" x14ac:dyDescent="0.3">
      <c r="A52" s="7" t="s">
        <v>12</v>
      </c>
      <c r="B52" s="7"/>
      <c r="C52" s="7"/>
      <c r="D52" s="7"/>
      <c r="E52" s="7"/>
    </row>
    <row r="53" spans="1:7" x14ac:dyDescent="0.3">
      <c r="A53" t="s">
        <v>0</v>
      </c>
      <c r="B53" s="7" t="s">
        <v>1</v>
      </c>
      <c r="C53" s="7"/>
      <c r="D53" s="7"/>
      <c r="E53" s="7"/>
    </row>
    <row r="54" spans="1:7" x14ac:dyDescent="0.3">
      <c r="A54" t="s">
        <v>2</v>
      </c>
      <c r="B54">
        <f>32+3.9+2</f>
        <v>37.9</v>
      </c>
      <c r="C54">
        <f>(14+3.5*36+4+3.8*26)/2</f>
        <v>121.4</v>
      </c>
    </row>
    <row r="55" spans="1:7" x14ac:dyDescent="0.3">
      <c r="A55" t="s">
        <v>3</v>
      </c>
      <c r="C55">
        <v>22</v>
      </c>
    </row>
    <row r="56" spans="1:7" x14ac:dyDescent="0.3">
      <c r="A56" t="s">
        <v>4</v>
      </c>
    </row>
    <row r="58" spans="1:7" x14ac:dyDescent="0.3">
      <c r="A58" t="s">
        <v>13</v>
      </c>
      <c r="B58">
        <f>(B54+C54)/3569*100</f>
        <v>4.4634351358924071</v>
      </c>
      <c r="F58" s="6" t="s">
        <v>28</v>
      </c>
      <c r="G58" s="6">
        <v>9.5</v>
      </c>
    </row>
    <row r="59" spans="1:7" x14ac:dyDescent="0.3">
      <c r="A59" t="s">
        <v>14</v>
      </c>
      <c r="B59">
        <f>C55/3569*100</f>
        <v>0.61641916503222194</v>
      </c>
      <c r="F59" s="6" t="s">
        <v>28</v>
      </c>
      <c r="G59" s="6">
        <v>8</v>
      </c>
    </row>
    <row r="62" spans="1:7" x14ac:dyDescent="0.3">
      <c r="A62" s="7" t="s">
        <v>16</v>
      </c>
      <c r="B62" s="7"/>
      <c r="C62" s="7"/>
      <c r="D62" s="7"/>
      <c r="E62" s="7"/>
    </row>
    <row r="63" spans="1:7" x14ac:dyDescent="0.3">
      <c r="A63" t="s">
        <v>0</v>
      </c>
      <c r="B63" s="7" t="s">
        <v>1</v>
      </c>
      <c r="C63" s="7"/>
      <c r="D63" s="7"/>
      <c r="E63" s="7"/>
    </row>
    <row r="64" spans="1:7" x14ac:dyDescent="0.3">
      <c r="A64" t="s">
        <v>2</v>
      </c>
    </row>
    <row r="65" spans="1:7" x14ac:dyDescent="0.3">
      <c r="A65" t="s">
        <v>3</v>
      </c>
    </row>
    <row r="66" spans="1:7" x14ac:dyDescent="0.3">
      <c r="A66" t="s">
        <v>4</v>
      </c>
      <c r="B66">
        <f>3*23</f>
        <v>69</v>
      </c>
    </row>
    <row r="68" spans="1:7" x14ac:dyDescent="0.3">
      <c r="A68" t="s">
        <v>15</v>
      </c>
      <c r="B68">
        <f>B66/3569*100</f>
        <v>1.9333146539646962</v>
      </c>
      <c r="F68" s="6" t="s">
        <v>28</v>
      </c>
      <c r="G68" s="6">
        <v>26</v>
      </c>
    </row>
    <row r="72" spans="1:7" x14ac:dyDescent="0.3">
      <c r="A72" s="10" t="s">
        <v>11</v>
      </c>
      <c r="B72" s="10"/>
      <c r="C72" s="10"/>
      <c r="D72" s="10"/>
      <c r="E72" s="10"/>
    </row>
    <row r="73" spans="1:7" x14ac:dyDescent="0.3">
      <c r="A73" s="1" t="s">
        <v>0</v>
      </c>
      <c r="B73" s="10" t="s">
        <v>1</v>
      </c>
      <c r="C73" s="10"/>
      <c r="D73" s="10"/>
      <c r="E73" s="10"/>
    </row>
    <row r="74" spans="1:7" x14ac:dyDescent="0.3">
      <c r="A74" s="1" t="s">
        <v>2</v>
      </c>
      <c r="B74" s="1"/>
      <c r="C74" s="1"/>
      <c r="D74" s="1"/>
      <c r="E74" s="1"/>
    </row>
    <row r="75" spans="1:7" x14ac:dyDescent="0.3">
      <c r="A75" s="1" t="s">
        <v>3</v>
      </c>
      <c r="B75" s="1">
        <f>(2.2*8.9)/2</f>
        <v>9.7900000000000009</v>
      </c>
      <c r="C75" s="1"/>
      <c r="D75" s="1"/>
      <c r="E75" s="1"/>
    </row>
    <row r="76" spans="1:7" x14ac:dyDescent="0.3">
      <c r="A76" s="1" t="s">
        <v>4</v>
      </c>
      <c r="B76" s="1"/>
      <c r="C76" s="1"/>
      <c r="D76" s="1"/>
      <c r="E76" s="1"/>
    </row>
    <row r="79" spans="1:7" x14ac:dyDescent="0.3">
      <c r="A79" t="s">
        <v>14</v>
      </c>
      <c r="B79">
        <f>B75/3569*100</f>
        <v>0.27430652843933878</v>
      </c>
      <c r="F79" s="6" t="s">
        <v>28</v>
      </c>
      <c r="G79" s="6">
        <v>13</v>
      </c>
    </row>
  </sheetData>
  <mergeCells count="14">
    <mergeCell ref="B31:E31"/>
    <mergeCell ref="A42:E42"/>
    <mergeCell ref="B43:E43"/>
    <mergeCell ref="A52:E52"/>
    <mergeCell ref="B73:E73"/>
    <mergeCell ref="B53:E53"/>
    <mergeCell ref="A62:E62"/>
    <mergeCell ref="B63:E63"/>
    <mergeCell ref="A72:E72"/>
    <mergeCell ref="A4:E4"/>
    <mergeCell ref="B5:E5"/>
    <mergeCell ref="A14:E14"/>
    <mergeCell ref="B15:E15"/>
    <mergeCell ref="A30:E3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5:J60"/>
  <sheetViews>
    <sheetView topLeftCell="A4" workbookViewId="0">
      <selection activeCell="J16" sqref="J16"/>
    </sheetView>
  </sheetViews>
  <sheetFormatPr defaultRowHeight="14.4" x14ac:dyDescent="0.3"/>
  <cols>
    <col min="1" max="1" width="14.109375" customWidth="1"/>
  </cols>
  <sheetData>
    <row r="5" spans="1:10" x14ac:dyDescent="0.3">
      <c r="A5" s="7" t="s">
        <v>5</v>
      </c>
      <c r="B5" s="7"/>
      <c r="C5" s="7"/>
      <c r="D5" s="7"/>
      <c r="E5" s="7"/>
    </row>
    <row r="6" spans="1:10" x14ac:dyDescent="0.3">
      <c r="A6" t="s">
        <v>0</v>
      </c>
      <c r="B6" s="7" t="s">
        <v>1</v>
      </c>
      <c r="C6" s="7"/>
      <c r="D6" s="7"/>
      <c r="E6" s="7"/>
    </row>
    <row r="7" spans="1:10" x14ac:dyDescent="0.3">
      <c r="A7" t="s">
        <v>2</v>
      </c>
    </row>
    <row r="8" spans="1:10" x14ac:dyDescent="0.3">
      <c r="A8" t="s">
        <v>3</v>
      </c>
      <c r="B8">
        <f>24</f>
        <v>24</v>
      </c>
      <c r="C8">
        <f>(46+7)/2</f>
        <v>26.5</v>
      </c>
    </row>
    <row r="9" spans="1:10" x14ac:dyDescent="0.3">
      <c r="A9" t="s">
        <v>4</v>
      </c>
      <c r="B9">
        <f>14+15</f>
        <v>29</v>
      </c>
    </row>
    <row r="10" spans="1:10" x14ac:dyDescent="0.3">
      <c r="A10" t="s">
        <v>14</v>
      </c>
      <c r="B10">
        <f>(B8+C8)/3117*100</f>
        <v>1.6201475777991656</v>
      </c>
      <c r="F10" s="6" t="s">
        <v>28</v>
      </c>
      <c r="G10" s="6">
        <v>11</v>
      </c>
      <c r="I10" s="5" t="s">
        <v>26</v>
      </c>
      <c r="J10" s="5">
        <f>G10+G11+G21+G22+G37+G49+G59+G60</f>
        <v>112</v>
      </c>
    </row>
    <row r="11" spans="1:10" x14ac:dyDescent="0.3">
      <c r="A11" t="s">
        <v>15</v>
      </c>
      <c r="B11">
        <f>B9/3117*100</f>
        <v>0.93038177735001604</v>
      </c>
      <c r="F11" s="6" t="s">
        <v>28</v>
      </c>
      <c r="G11" s="6">
        <v>18</v>
      </c>
      <c r="I11" s="5" t="s">
        <v>25</v>
      </c>
      <c r="J11" s="5">
        <v>56</v>
      </c>
    </row>
    <row r="12" spans="1:10" x14ac:dyDescent="0.3">
      <c r="I12" s="5" t="s">
        <v>27</v>
      </c>
      <c r="J12" s="5">
        <f>100-J11</f>
        <v>44</v>
      </c>
    </row>
    <row r="15" spans="1:10" x14ac:dyDescent="0.3">
      <c r="A15" s="7" t="s">
        <v>6</v>
      </c>
      <c r="B15" s="7"/>
      <c r="C15" s="7"/>
      <c r="D15" s="7"/>
      <c r="E15" s="7"/>
    </row>
    <row r="16" spans="1:10" x14ac:dyDescent="0.3">
      <c r="A16" t="s">
        <v>0</v>
      </c>
      <c r="B16" s="7" t="s">
        <v>1</v>
      </c>
      <c r="C16" s="7"/>
      <c r="D16" s="7"/>
      <c r="E16" s="7"/>
    </row>
    <row r="17" spans="1:7" x14ac:dyDescent="0.3">
      <c r="A17" t="s">
        <v>2</v>
      </c>
      <c r="B17">
        <f>30+22.3+7+2</f>
        <v>61.3</v>
      </c>
      <c r="C17">
        <f>(15*4+1.5*10)/2</f>
        <v>37.5</v>
      </c>
    </row>
    <row r="18" spans="1:7" x14ac:dyDescent="0.3">
      <c r="A18" t="s">
        <v>3</v>
      </c>
      <c r="C18">
        <f>(20+8*2.5)/2</f>
        <v>20</v>
      </c>
    </row>
    <row r="19" spans="1:7" x14ac:dyDescent="0.3">
      <c r="A19" t="s">
        <v>4</v>
      </c>
    </row>
    <row r="21" spans="1:7" x14ac:dyDescent="0.3">
      <c r="A21" t="s">
        <v>13</v>
      </c>
      <c r="B21">
        <f>(B17+C17)/3117*100</f>
        <v>3.1697144690407444</v>
      </c>
      <c r="F21" s="6" t="s">
        <v>28</v>
      </c>
      <c r="G21" s="6">
        <v>20.5</v>
      </c>
    </row>
    <row r="22" spans="1:7" x14ac:dyDescent="0.3">
      <c r="A22" t="s">
        <v>14</v>
      </c>
      <c r="B22">
        <f>C18/3117*100</f>
        <v>0.64164260506897663</v>
      </c>
      <c r="F22" s="6" t="s">
        <v>28</v>
      </c>
      <c r="G22" s="6">
        <v>18</v>
      </c>
    </row>
    <row r="31" spans="1:7" x14ac:dyDescent="0.3">
      <c r="A31" s="7" t="s">
        <v>9</v>
      </c>
      <c r="B31" s="7"/>
      <c r="C31" s="7"/>
      <c r="D31" s="7"/>
      <c r="E31" s="7"/>
    </row>
    <row r="32" spans="1:7" x14ac:dyDescent="0.3">
      <c r="A32" t="s">
        <v>0</v>
      </c>
      <c r="B32" s="7" t="s">
        <v>1</v>
      </c>
      <c r="C32" s="7"/>
      <c r="D32" s="7"/>
      <c r="E32" s="7"/>
    </row>
    <row r="33" spans="1:7" x14ac:dyDescent="0.3">
      <c r="A33" t="s">
        <v>2</v>
      </c>
      <c r="B33">
        <f>7*17</f>
        <v>119</v>
      </c>
    </row>
    <row r="34" spans="1:7" x14ac:dyDescent="0.3">
      <c r="A34" t="s">
        <v>3</v>
      </c>
    </row>
    <row r="35" spans="1:7" x14ac:dyDescent="0.3">
      <c r="A35" t="s">
        <v>4</v>
      </c>
    </row>
    <row r="37" spans="1:7" x14ac:dyDescent="0.3">
      <c r="A37" t="s">
        <v>13</v>
      </c>
      <c r="B37">
        <f>B33/3117*100</f>
        <v>3.8177735001604103</v>
      </c>
      <c r="F37" s="6" t="s">
        <v>28</v>
      </c>
      <c r="G37" s="6">
        <v>4</v>
      </c>
    </row>
    <row r="43" spans="1:7" x14ac:dyDescent="0.3">
      <c r="A43" s="7" t="s">
        <v>10</v>
      </c>
      <c r="B43" s="7"/>
      <c r="C43" s="7"/>
      <c r="D43" s="7"/>
      <c r="E43" s="7"/>
    </row>
    <row r="44" spans="1:7" x14ac:dyDescent="0.3">
      <c r="A44" t="s">
        <v>0</v>
      </c>
      <c r="B44" s="7" t="s">
        <v>1</v>
      </c>
      <c r="C44" s="7"/>
      <c r="D44" s="7"/>
      <c r="E44" s="7"/>
    </row>
    <row r="45" spans="1:7" x14ac:dyDescent="0.3">
      <c r="A45" t="s">
        <v>2</v>
      </c>
      <c r="B45">
        <f>3*14</f>
        <v>42</v>
      </c>
    </row>
    <row r="46" spans="1:7" x14ac:dyDescent="0.3">
      <c r="A46" t="s">
        <v>3</v>
      </c>
    </row>
    <row r="47" spans="1:7" x14ac:dyDescent="0.3">
      <c r="A47" t="s">
        <v>4</v>
      </c>
    </row>
    <row r="49" spans="1:7" x14ac:dyDescent="0.3">
      <c r="A49" t="s">
        <v>13</v>
      </c>
      <c r="B49">
        <f>B45/3117*100</f>
        <v>1.3474494706448508</v>
      </c>
      <c r="F49" s="6" t="s">
        <v>28</v>
      </c>
      <c r="G49" s="6">
        <v>8</v>
      </c>
    </row>
    <row r="53" spans="1:7" x14ac:dyDescent="0.3">
      <c r="A53" s="7" t="s">
        <v>12</v>
      </c>
      <c r="B53" s="7"/>
      <c r="C53" s="7"/>
      <c r="D53" s="7"/>
      <c r="E53" s="7"/>
    </row>
    <row r="54" spans="1:7" x14ac:dyDescent="0.3">
      <c r="A54" t="s">
        <v>0</v>
      </c>
      <c r="B54" s="7" t="s">
        <v>1</v>
      </c>
      <c r="C54" s="7"/>
      <c r="D54" s="7"/>
      <c r="E54" s="7"/>
    </row>
    <row r="55" spans="1:7" x14ac:dyDescent="0.3">
      <c r="A55" t="s">
        <v>2</v>
      </c>
      <c r="B55">
        <f>12+15+4.7*14+4.2*16.5+3.5*9.7+35</f>
        <v>231.04999999999998</v>
      </c>
      <c r="C55">
        <f>(14+3.5*36+4+3.8*26)/2</f>
        <v>121.4</v>
      </c>
    </row>
    <row r="56" spans="1:7" x14ac:dyDescent="0.3">
      <c r="A56" t="s">
        <v>3</v>
      </c>
      <c r="C56">
        <v>22</v>
      </c>
    </row>
    <row r="57" spans="1:7" x14ac:dyDescent="0.3">
      <c r="A57" t="s">
        <v>4</v>
      </c>
    </row>
    <row r="59" spans="1:7" x14ac:dyDescent="0.3">
      <c r="A59" t="s">
        <v>13</v>
      </c>
      <c r="B59">
        <f>(B55+C55)/3117*100</f>
        <v>11.30734680782804</v>
      </c>
      <c r="F59" s="6" t="s">
        <v>28</v>
      </c>
      <c r="G59" s="6">
        <v>24</v>
      </c>
    </row>
    <row r="60" spans="1:7" x14ac:dyDescent="0.3">
      <c r="A60" t="s">
        <v>14</v>
      </c>
      <c r="B60">
        <f>C56/3117*100</f>
        <v>0.70580686557587424</v>
      </c>
      <c r="F60" s="6" t="s">
        <v>28</v>
      </c>
      <c r="G60" s="6">
        <v>8.5</v>
      </c>
    </row>
  </sheetData>
  <mergeCells count="10">
    <mergeCell ref="A43:E43"/>
    <mergeCell ref="B44:E44"/>
    <mergeCell ref="A53:E53"/>
    <mergeCell ref="B54:E54"/>
    <mergeCell ref="A5:E5"/>
    <mergeCell ref="B6:E6"/>
    <mergeCell ref="A15:E15"/>
    <mergeCell ref="B16:E16"/>
    <mergeCell ref="A31:E31"/>
    <mergeCell ref="B32:E3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J38"/>
  <sheetViews>
    <sheetView workbookViewId="0">
      <selection activeCell="F37" sqref="F37:G38"/>
    </sheetView>
  </sheetViews>
  <sheetFormatPr defaultRowHeight="14.4" x14ac:dyDescent="0.3"/>
  <cols>
    <col min="1" max="1" width="11.6640625" customWidth="1"/>
  </cols>
  <sheetData>
    <row r="5" spans="1:10" x14ac:dyDescent="0.3">
      <c r="A5" s="7" t="s">
        <v>6</v>
      </c>
      <c r="B5" s="7"/>
      <c r="C5" s="7"/>
      <c r="D5" s="7"/>
      <c r="E5" s="7"/>
    </row>
    <row r="6" spans="1:10" x14ac:dyDescent="0.3">
      <c r="A6" t="s">
        <v>0</v>
      </c>
      <c r="B6" s="7" t="s">
        <v>1</v>
      </c>
      <c r="C6" s="7"/>
      <c r="D6" s="7"/>
      <c r="E6" s="7"/>
    </row>
    <row r="7" spans="1:10" x14ac:dyDescent="0.3">
      <c r="A7" t="s">
        <v>2</v>
      </c>
      <c r="B7">
        <f>14*7.5</f>
        <v>105</v>
      </c>
    </row>
    <row r="8" spans="1:10" x14ac:dyDescent="0.3">
      <c r="A8" t="s">
        <v>3</v>
      </c>
      <c r="I8" s="5" t="s">
        <v>26</v>
      </c>
      <c r="J8" s="5">
        <f>G11+G26+G27+G37+G38</f>
        <v>106</v>
      </c>
    </row>
    <row r="9" spans="1:10" x14ac:dyDescent="0.3">
      <c r="A9" t="s">
        <v>4</v>
      </c>
      <c r="I9" s="5" t="s">
        <v>25</v>
      </c>
      <c r="J9" s="5">
        <v>56</v>
      </c>
    </row>
    <row r="10" spans="1:10" x14ac:dyDescent="0.3">
      <c r="I10" s="5" t="s">
        <v>27</v>
      </c>
      <c r="J10" s="5">
        <f>100-J9</f>
        <v>44</v>
      </c>
    </row>
    <row r="11" spans="1:10" x14ac:dyDescent="0.3">
      <c r="A11" t="s">
        <v>13</v>
      </c>
      <c r="B11">
        <f>B7/1875*100</f>
        <v>5.6000000000000005</v>
      </c>
      <c r="F11" s="6" t="s">
        <v>28</v>
      </c>
      <c r="G11" s="6">
        <v>28</v>
      </c>
    </row>
    <row r="20" spans="1:7" x14ac:dyDescent="0.3">
      <c r="A20" s="7" t="s">
        <v>9</v>
      </c>
      <c r="B20" s="7"/>
      <c r="C20" s="7"/>
      <c r="D20" s="7"/>
      <c r="E20" s="7"/>
    </row>
    <row r="21" spans="1:7" x14ac:dyDescent="0.3">
      <c r="A21" t="s">
        <v>0</v>
      </c>
      <c r="B21" s="7" t="s">
        <v>1</v>
      </c>
      <c r="C21" s="7"/>
      <c r="D21" s="7"/>
      <c r="E21" s="7"/>
    </row>
    <row r="22" spans="1:7" x14ac:dyDescent="0.3">
      <c r="A22" t="s">
        <v>2</v>
      </c>
      <c r="B22">
        <f>4.5*43+7*19+34*5+15.2*3+3*39</f>
        <v>659.1</v>
      </c>
    </row>
    <row r="23" spans="1:7" x14ac:dyDescent="0.3">
      <c r="A23" t="s">
        <v>3</v>
      </c>
      <c r="B23">
        <f>35.7*7.5</f>
        <v>267.75</v>
      </c>
    </row>
    <row r="24" spans="1:7" x14ac:dyDescent="0.3">
      <c r="A24" t="s">
        <v>4</v>
      </c>
    </row>
    <row r="26" spans="1:7" x14ac:dyDescent="0.3">
      <c r="A26" t="s">
        <v>13</v>
      </c>
      <c r="B26">
        <f>B22/1875*100</f>
        <v>35.152000000000001</v>
      </c>
      <c r="F26" s="6" t="s">
        <v>28</v>
      </c>
      <c r="G26" s="6">
        <v>18</v>
      </c>
    </row>
    <row r="27" spans="1:7" x14ac:dyDescent="0.3">
      <c r="A27" t="s">
        <v>14</v>
      </c>
      <c r="B27">
        <f>B23/1875*100</f>
        <v>14.280000000000001</v>
      </c>
      <c r="F27" s="6" t="s">
        <v>28</v>
      </c>
      <c r="G27" s="6">
        <v>19</v>
      </c>
    </row>
    <row r="31" spans="1:7" x14ac:dyDescent="0.3">
      <c r="A31" s="7" t="s">
        <v>12</v>
      </c>
      <c r="B31" s="7"/>
      <c r="C31" s="7"/>
      <c r="D31" s="7"/>
      <c r="E31" s="7"/>
    </row>
    <row r="32" spans="1:7" x14ac:dyDescent="0.3">
      <c r="A32" t="s">
        <v>0</v>
      </c>
      <c r="B32" s="7" t="s">
        <v>1</v>
      </c>
      <c r="C32" s="7"/>
      <c r="D32" s="7"/>
      <c r="E32" s="7"/>
    </row>
    <row r="33" spans="1:7" x14ac:dyDescent="0.3">
      <c r="A33" t="s">
        <v>2</v>
      </c>
      <c r="B33">
        <f>1.5*2+17*4+3.4*15.2+6*3.8</f>
        <v>145.48000000000002</v>
      </c>
    </row>
    <row r="34" spans="1:7" x14ac:dyDescent="0.3">
      <c r="A34" t="s">
        <v>3</v>
      </c>
      <c r="B34">
        <f>3.6*9.5+4.7+4.5*24</f>
        <v>146.9</v>
      </c>
    </row>
    <row r="35" spans="1:7" x14ac:dyDescent="0.3">
      <c r="A35" t="s">
        <v>4</v>
      </c>
    </row>
    <row r="37" spans="1:7" x14ac:dyDescent="0.3">
      <c r="A37" t="s">
        <v>13</v>
      </c>
      <c r="B37">
        <f>B33/1875*100</f>
        <v>7.7589333333333341</v>
      </c>
      <c r="F37" s="6" t="s">
        <v>28</v>
      </c>
      <c r="G37" s="6">
        <v>14</v>
      </c>
    </row>
    <row r="38" spans="1:7" x14ac:dyDescent="0.3">
      <c r="A38" t="s">
        <v>14</v>
      </c>
      <c r="B38">
        <f>B33/1875*100</f>
        <v>7.7589333333333341</v>
      </c>
      <c r="F38" s="6" t="s">
        <v>28</v>
      </c>
      <c r="G38" s="6">
        <v>27</v>
      </c>
    </row>
  </sheetData>
  <mergeCells count="6">
    <mergeCell ref="A31:E31"/>
    <mergeCell ref="B32:E32"/>
    <mergeCell ref="A5:E5"/>
    <mergeCell ref="B6:E6"/>
    <mergeCell ref="A20:E20"/>
    <mergeCell ref="B21:E2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J49"/>
  <sheetViews>
    <sheetView tabSelected="1" workbookViewId="0">
      <selection activeCell="F48" sqref="F48:G49"/>
    </sheetView>
  </sheetViews>
  <sheetFormatPr defaultRowHeight="14.4" x14ac:dyDescent="0.3"/>
  <cols>
    <col min="1" max="1" width="11.109375" customWidth="1"/>
  </cols>
  <sheetData>
    <row r="5" spans="1:10" x14ac:dyDescent="0.3">
      <c r="A5" s="7" t="s">
        <v>5</v>
      </c>
      <c r="B5" s="7"/>
      <c r="C5" s="7"/>
      <c r="D5" s="7"/>
      <c r="E5" s="7"/>
    </row>
    <row r="6" spans="1:10" x14ac:dyDescent="0.3">
      <c r="A6" t="s">
        <v>0</v>
      </c>
      <c r="B6" s="7" t="s">
        <v>1</v>
      </c>
      <c r="C6" s="7"/>
      <c r="D6" s="7"/>
      <c r="E6" s="7"/>
    </row>
    <row r="7" spans="1:10" x14ac:dyDescent="0.3">
      <c r="A7" t="s">
        <v>2</v>
      </c>
      <c r="B7">
        <v>23</v>
      </c>
    </row>
    <row r="8" spans="1:10" x14ac:dyDescent="0.3">
      <c r="A8" t="s">
        <v>3</v>
      </c>
    </row>
    <row r="9" spans="1:10" x14ac:dyDescent="0.3">
      <c r="A9" t="s">
        <v>4</v>
      </c>
    </row>
    <row r="10" spans="1:10" x14ac:dyDescent="0.3">
      <c r="A10" t="s">
        <v>14</v>
      </c>
      <c r="B10">
        <f>B7/2062*100</f>
        <v>1.1154219204655673</v>
      </c>
      <c r="F10" s="6" t="s">
        <v>28</v>
      </c>
      <c r="G10" s="6">
        <v>18</v>
      </c>
      <c r="I10" s="5" t="s">
        <v>26</v>
      </c>
      <c r="J10" s="5">
        <f>G10+G20+G35+G36+G49</f>
        <v>69</v>
      </c>
    </row>
    <row r="11" spans="1:10" x14ac:dyDescent="0.3">
      <c r="I11" s="5" t="s">
        <v>25</v>
      </c>
      <c r="J11" s="5">
        <v>34</v>
      </c>
    </row>
    <row r="12" spans="1:10" x14ac:dyDescent="0.3">
      <c r="I12" s="5" t="s">
        <v>27</v>
      </c>
      <c r="J12" s="5">
        <f>100-J11</f>
        <v>66</v>
      </c>
    </row>
    <row r="14" spans="1:10" x14ac:dyDescent="0.3">
      <c r="A14" s="7" t="s">
        <v>6</v>
      </c>
      <c r="B14" s="7"/>
      <c r="C14" s="7"/>
      <c r="D14" s="7"/>
      <c r="E14" s="7"/>
    </row>
    <row r="15" spans="1:10" x14ac:dyDescent="0.3">
      <c r="A15" t="s">
        <v>0</v>
      </c>
      <c r="B15" s="7" t="s">
        <v>1</v>
      </c>
      <c r="C15" s="7"/>
      <c r="D15" s="7"/>
      <c r="E15" s="7"/>
    </row>
    <row r="16" spans="1:10" x14ac:dyDescent="0.3">
      <c r="A16" t="s">
        <v>2</v>
      </c>
      <c r="B16">
        <f>3.5*7</f>
        <v>24.5</v>
      </c>
    </row>
    <row r="17" spans="1:7" x14ac:dyDescent="0.3">
      <c r="A17" t="s">
        <v>3</v>
      </c>
    </row>
    <row r="18" spans="1:7" x14ac:dyDescent="0.3">
      <c r="A18" t="s">
        <v>4</v>
      </c>
    </row>
    <row r="20" spans="1:7" x14ac:dyDescent="0.3">
      <c r="A20" t="s">
        <v>13</v>
      </c>
      <c r="B20">
        <f>B16/2062*100</f>
        <v>1.1881668283220175</v>
      </c>
      <c r="F20" s="6" t="s">
        <v>28</v>
      </c>
      <c r="G20" s="6">
        <v>11</v>
      </c>
    </row>
    <row r="29" spans="1:7" x14ac:dyDescent="0.3">
      <c r="A29" s="7" t="s">
        <v>9</v>
      </c>
      <c r="B29" s="7"/>
      <c r="C29" s="7"/>
      <c r="D29" s="7"/>
      <c r="E29" s="7"/>
    </row>
    <row r="30" spans="1:7" x14ac:dyDescent="0.3">
      <c r="A30" t="s">
        <v>0</v>
      </c>
      <c r="B30" s="7" t="s">
        <v>1</v>
      </c>
      <c r="C30" s="7"/>
      <c r="D30" s="7"/>
      <c r="E30" s="7"/>
    </row>
    <row r="31" spans="1:7" x14ac:dyDescent="0.3">
      <c r="A31" t="s">
        <v>2</v>
      </c>
      <c r="B31">
        <f>29.5*5+18*7+5.5*8.5+21*4</f>
        <v>404.25</v>
      </c>
    </row>
    <row r="32" spans="1:7" x14ac:dyDescent="0.3">
      <c r="A32" t="s">
        <v>3</v>
      </c>
      <c r="B32">
        <f>48*7</f>
        <v>336</v>
      </c>
    </row>
    <row r="33" spans="1:7" x14ac:dyDescent="0.3">
      <c r="A33" t="s">
        <v>4</v>
      </c>
    </row>
    <row r="35" spans="1:7" x14ac:dyDescent="0.3">
      <c r="A35" t="s">
        <v>13</v>
      </c>
      <c r="B35">
        <f>B31/2062*100</f>
        <v>19.604752667313289</v>
      </c>
      <c r="F35" s="6" t="s">
        <v>28</v>
      </c>
      <c r="G35" s="6">
        <v>12</v>
      </c>
    </row>
    <row r="36" spans="1:7" x14ac:dyDescent="0.3">
      <c r="A36" t="s">
        <v>14</v>
      </c>
      <c r="B36">
        <f>B32/2062*100</f>
        <v>16.294859359844811</v>
      </c>
      <c r="F36" s="6" t="s">
        <v>28</v>
      </c>
      <c r="G36" s="6">
        <v>20</v>
      </c>
    </row>
    <row r="42" spans="1:7" x14ac:dyDescent="0.3">
      <c r="A42" s="7" t="s">
        <v>12</v>
      </c>
      <c r="B42" s="7"/>
      <c r="C42" s="7"/>
      <c r="D42" s="7"/>
      <c r="E42" s="7"/>
    </row>
    <row r="43" spans="1:7" x14ac:dyDescent="0.3">
      <c r="A43" t="s">
        <v>0</v>
      </c>
      <c r="B43" s="7" t="s">
        <v>1</v>
      </c>
      <c r="C43" s="7"/>
      <c r="D43" s="7"/>
      <c r="E43" s="7"/>
    </row>
    <row r="44" spans="1:7" x14ac:dyDescent="0.3">
      <c r="A44" t="s">
        <v>2</v>
      </c>
      <c r="B44">
        <f>3*4.5</f>
        <v>13.5</v>
      </c>
    </row>
    <row r="45" spans="1:7" x14ac:dyDescent="0.3">
      <c r="A45" t="s">
        <v>3</v>
      </c>
      <c r="B45">
        <f>12</f>
        <v>12</v>
      </c>
    </row>
    <row r="46" spans="1:7" x14ac:dyDescent="0.3">
      <c r="A46" t="s">
        <v>4</v>
      </c>
    </row>
    <row r="48" spans="1:7" x14ac:dyDescent="0.3">
      <c r="A48" t="s">
        <v>13</v>
      </c>
      <c r="B48">
        <f>B44/2062*100</f>
        <v>0.65470417070805043</v>
      </c>
      <c r="F48" s="6" t="s">
        <v>28</v>
      </c>
      <c r="G48" s="6">
        <v>1.8</v>
      </c>
    </row>
    <row r="49" spans="1:7" x14ac:dyDescent="0.3">
      <c r="A49" t="s">
        <v>14</v>
      </c>
      <c r="B49">
        <f>B45/2062*100</f>
        <v>0.58195926285160038</v>
      </c>
      <c r="F49" s="6" t="s">
        <v>28</v>
      </c>
      <c r="G49" s="6">
        <v>8</v>
      </c>
    </row>
  </sheetData>
  <mergeCells count="8">
    <mergeCell ref="A42:E42"/>
    <mergeCell ref="B43:E43"/>
    <mergeCell ref="A5:E5"/>
    <mergeCell ref="B6:E6"/>
    <mergeCell ref="A14:E14"/>
    <mergeCell ref="B15:E15"/>
    <mergeCell ref="A29:E29"/>
    <mergeCell ref="B30:E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Лист1</vt:lpstr>
      <vt:lpstr>Лист2</vt:lpstr>
      <vt:lpstr>Лист3</vt:lpstr>
      <vt:lpstr>Лист4</vt:lpstr>
      <vt:lpstr>Лист5</vt:lpstr>
      <vt:lpstr>Лист6</vt:lpstr>
      <vt:lpstr>Лист7</vt:lpstr>
      <vt:lpstr>Лист8</vt:lpstr>
      <vt:lpstr>Лист9</vt:lpstr>
      <vt:lpstr>Лист10</vt:lpstr>
      <vt:lpstr>Лист11</vt:lpstr>
      <vt:lpstr>Лист12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2026-08-03T07:08:35Z</cp:lastPrinted>
  <dcterms:created xsi:type="dcterms:W3CDTF">2026-07-18T09:42:46Z</dcterms:created>
  <dcterms:modified xsi:type="dcterms:W3CDTF">2026-08-04T04:07:21Z</dcterms:modified>
</cp:coreProperties>
</file>